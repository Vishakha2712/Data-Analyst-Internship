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040c7086feb650/Desktop/"/>
    </mc:Choice>
  </mc:AlternateContent>
  <xr:revisionPtr revIDLastSave="1" documentId="8_{92419838-C66D-4D37-9A3D-1F26E5D00982}" xr6:coauthVersionLast="47" xr6:coauthVersionMax="47" xr10:uidLastSave="{3C93C543-A4DF-4F36-A9D8-8134F309E0AD}"/>
  <bookViews>
    <workbookView xWindow="-108" yWindow="-108" windowWidth="23256" windowHeight="12456" firstSheet="1" activeTab="3" xr2:uid="{F139614D-EE8C-485F-8D0E-A5F9A7FD44E5}"/>
  </bookViews>
  <sheets>
    <sheet name="activity_data" sheetId="3" state="hidden" r:id="rId1"/>
    <sheet name="Final_Report" sheetId="4" r:id="rId2"/>
    <sheet name="network_data" sheetId="2" state="hidden" r:id="rId3"/>
    <sheet name="Answers" sheetId="1" r:id="rId4"/>
  </sheets>
  <definedNames>
    <definedName name="ExternalData_1" localSheetId="2" hidden="1">network_data!$A$1:$C$235</definedName>
    <definedName name="ExternalData_2" localSheetId="0" hidden="1">activity_data!$A$1:$C$270</definedName>
    <definedName name="ExternalData_2" localSheetId="1" hidden="1">Final_Report!$A$1:$L$11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2" i="4" l="1"/>
  <c r="J12" i="4"/>
  <c r="I12" i="4"/>
  <c r="H12" i="4"/>
  <c r="G12" i="4"/>
  <c r="F12" i="4"/>
  <c r="E12" i="4"/>
  <c r="D12" i="4"/>
  <c r="C12" i="4"/>
  <c r="B12" i="4"/>
  <c r="L1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428357-7145-451F-8611-416FCDC42BCD}" keepAlive="1" name="Query - activity_data" description="Connection to the 'activity_data' query in the workbook." type="5" refreshedVersion="8" background="1" saveData="1">
    <dbPr connection="Provider=Microsoft.Mashup.OleDb.1;Data Source=$Workbook$;Location=activity_data;Extended Properties=&quot;&quot;" command="SELECT * FROM [activity_data]"/>
  </connection>
  <connection id="2" xr16:uid="{6A3BC3AE-E84F-4CC3-B109-0285E766EEF6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3" xr16:uid="{F6BBD1D3-9308-4289-8CF3-0F369EF3BDB8}" keepAlive="1" name="Query - network_data" description="Connection to the 'network_data' query in the workbook." type="5" refreshedVersion="8" background="1" saveData="1">
    <dbPr connection="Provider=Microsoft.Mashup.OleDb.1;Data Source=$Workbook$;Location=network_data;Extended Properties=&quot;&quot;" command="SELECT * FROM [network_data]"/>
  </connection>
</connections>
</file>

<file path=xl/sharedStrings.xml><?xml version="1.0" encoding="utf-8"?>
<sst xmlns="http://schemas.openxmlformats.org/spreadsheetml/2006/main" count="1590" uniqueCount="537">
  <si>
    <t>city</t>
  </si>
  <si>
    <t>network_id</t>
  </si>
  <si>
    <t>Mumbai</t>
  </si>
  <si>
    <t>MuGNZXJ2</t>
  </si>
  <si>
    <t>Pending Activation</t>
  </si>
  <si>
    <t>MuXN8JT4</t>
  </si>
  <si>
    <t>Outage</t>
  </si>
  <si>
    <t>MuL74A77</t>
  </si>
  <si>
    <t>Issue Reported</t>
  </si>
  <si>
    <t>Mu30F944</t>
  </si>
  <si>
    <t>MuTAFIAM</t>
  </si>
  <si>
    <t>Mu82RAKW</t>
  </si>
  <si>
    <t>Mu2N0401</t>
  </si>
  <si>
    <t>Connected</t>
  </si>
  <si>
    <t>MuZU004L</t>
  </si>
  <si>
    <t>MuXESO25</t>
  </si>
  <si>
    <t>Suspended</t>
  </si>
  <si>
    <t>MuLQ4F4D</t>
  </si>
  <si>
    <t>Mu54HSCQ</t>
  </si>
  <si>
    <t>MuJTT5NG</t>
  </si>
  <si>
    <t>Mu9R8UI2</t>
  </si>
  <si>
    <t>MuI730PT</t>
  </si>
  <si>
    <t>MuJ4NDGJ</t>
  </si>
  <si>
    <t>MuU8DFPX</t>
  </si>
  <si>
    <t>Mu4VEXFD</t>
  </si>
  <si>
    <t>MuOUN36B</t>
  </si>
  <si>
    <t>MuMTFHRZ</t>
  </si>
  <si>
    <t>MuOP3K9I</t>
  </si>
  <si>
    <t>Mu59HMCW</t>
  </si>
  <si>
    <t>MuO6DFHU</t>
  </si>
  <si>
    <t>MuC2KBFS</t>
  </si>
  <si>
    <t>MuCV8WHB</t>
  </si>
  <si>
    <t>Delhi</t>
  </si>
  <si>
    <t>DeILG2JA</t>
  </si>
  <si>
    <t>DeU6A4LX</t>
  </si>
  <si>
    <t>DeWJ1GAW</t>
  </si>
  <si>
    <t>DeSCX5TF</t>
  </si>
  <si>
    <t>DeXUISFM</t>
  </si>
  <si>
    <t>DeMV6ATA</t>
  </si>
  <si>
    <t>De76JQFU</t>
  </si>
  <si>
    <t>De1JYOHV</t>
  </si>
  <si>
    <t>De7VHHMM</t>
  </si>
  <si>
    <t>De9ZEVYB</t>
  </si>
  <si>
    <t>DeUYZSPY</t>
  </si>
  <si>
    <t>DeK59S3U</t>
  </si>
  <si>
    <t>DeXDUO6P</t>
  </si>
  <si>
    <t>DeP8BU58</t>
  </si>
  <si>
    <t>De5ODXV5</t>
  </si>
  <si>
    <t>DeK54M0E</t>
  </si>
  <si>
    <t>DePCVGWH</t>
  </si>
  <si>
    <t>DeWF7UCI</t>
  </si>
  <si>
    <t>De3WB6UE</t>
  </si>
  <si>
    <t>DeNC70H2</t>
  </si>
  <si>
    <t>Bangalore</t>
  </si>
  <si>
    <t>BaAIQSUW</t>
  </si>
  <si>
    <t>BaY7RSKA</t>
  </si>
  <si>
    <t>Ba8EAAL6</t>
  </si>
  <si>
    <t>BaVFQSKE</t>
  </si>
  <si>
    <t>Ba1GAW95</t>
  </si>
  <si>
    <t>BaWESRLZ</t>
  </si>
  <si>
    <t>BaXVYMCB</t>
  </si>
  <si>
    <t>BaURW9AL</t>
  </si>
  <si>
    <t>BaR3Y9WZ</t>
  </si>
  <si>
    <t>BaIPEL5F</t>
  </si>
  <si>
    <t>BaTNDEWU</t>
  </si>
  <si>
    <t>BaASX37A</t>
  </si>
  <si>
    <t>BaLRGIRD</t>
  </si>
  <si>
    <t>BaV9LSDD</t>
  </si>
  <si>
    <t>BaQSZBW2</t>
  </si>
  <si>
    <t>BaV2118G</t>
  </si>
  <si>
    <t>Hyderabad</t>
  </si>
  <si>
    <t>HyCUFL3J</t>
  </si>
  <si>
    <t>HyBYVHLQ</t>
  </si>
  <si>
    <t>Hy2W0Z2D</t>
  </si>
  <si>
    <t>HyP9YJWY</t>
  </si>
  <si>
    <t>HyO7OYF8</t>
  </si>
  <si>
    <t>Hy4KJUHL</t>
  </si>
  <si>
    <t>HyLLD5DC</t>
  </si>
  <si>
    <t>Hy68OCRE</t>
  </si>
  <si>
    <t>Hy5MTEUG</t>
  </si>
  <si>
    <t>Hy4K3DKF</t>
  </si>
  <si>
    <t>Hy2QB9AU</t>
  </si>
  <si>
    <t>HyICDJLB</t>
  </si>
  <si>
    <t>HyTOAS8Q</t>
  </si>
  <si>
    <t>HyBBBHJ0</t>
  </si>
  <si>
    <t>HyNA4N73</t>
  </si>
  <si>
    <t>HyYPCTER</t>
  </si>
  <si>
    <t>HyHB8KIV</t>
  </si>
  <si>
    <t>HyP37RJM</t>
  </si>
  <si>
    <t>HyF8315J</t>
  </si>
  <si>
    <t>Hy3L8D7G</t>
  </si>
  <si>
    <t>HyO9MRS0</t>
  </si>
  <si>
    <t>HyYHEAMA</t>
  </si>
  <si>
    <t>Chennai</t>
  </si>
  <si>
    <t>ChY98W40</t>
  </si>
  <si>
    <t>ChC9YDQ0</t>
  </si>
  <si>
    <t>ChQC1YQC</t>
  </si>
  <si>
    <t>ChTP2R99</t>
  </si>
  <si>
    <t>Ch8S7PCW</t>
  </si>
  <si>
    <t>Ch149YOX</t>
  </si>
  <si>
    <t>ChW5NQZN</t>
  </si>
  <si>
    <t>ChH7Q1FN</t>
  </si>
  <si>
    <t>ChVL7DMY</t>
  </si>
  <si>
    <t>ChZNQL5I</t>
  </si>
  <si>
    <t>ChGQP4YO</t>
  </si>
  <si>
    <t>ChGBXZTV</t>
  </si>
  <si>
    <t>ChZ8TR1R</t>
  </si>
  <si>
    <t>ChIDLQMV</t>
  </si>
  <si>
    <t>ChCDWFJO</t>
  </si>
  <si>
    <t>ChHIFOWD</t>
  </si>
  <si>
    <t>ChPZ0KR5</t>
  </si>
  <si>
    <t>ChDP5YX4</t>
  </si>
  <si>
    <t>ChJ0YZWL</t>
  </si>
  <si>
    <t>ChFR55TI</t>
  </si>
  <si>
    <t>Ch8WWUA6</t>
  </si>
  <si>
    <t>ChHC1ZYX</t>
  </si>
  <si>
    <t>Ch7A3JCD</t>
  </si>
  <si>
    <t>Ch2JD5MX</t>
  </si>
  <si>
    <t>ChV19TGP</t>
  </si>
  <si>
    <t>ChEPJ8MQ</t>
  </si>
  <si>
    <t>Kolkata</t>
  </si>
  <si>
    <t>KoKN8G0O</t>
  </si>
  <si>
    <t>Ko9V4HQA</t>
  </si>
  <si>
    <t>KoTUG62Z</t>
  </si>
  <si>
    <t>KoPQ9WJO</t>
  </si>
  <si>
    <t>KoZ8SCAP</t>
  </si>
  <si>
    <t>Ko497G8D</t>
  </si>
  <si>
    <t>KoLYAZ7E</t>
  </si>
  <si>
    <t>KoIFPU0B</t>
  </si>
  <si>
    <t>KoL1UGYY</t>
  </si>
  <si>
    <t>Ko5HR2T3</t>
  </si>
  <si>
    <t>KoH01XON</t>
  </si>
  <si>
    <t>KoU79B4K</t>
  </si>
  <si>
    <t>Ko5WFFJJ</t>
  </si>
  <si>
    <t>KoD9ICRW</t>
  </si>
  <si>
    <t>KoYS0DEH</t>
  </si>
  <si>
    <t>Ko1Z7CZP</t>
  </si>
  <si>
    <t>KoRLZQ56</t>
  </si>
  <si>
    <t>Ko8MO7X8</t>
  </si>
  <si>
    <t>KoSM8BZ2</t>
  </si>
  <si>
    <t>Ko4E1X2W</t>
  </si>
  <si>
    <t>Ahmedabad</t>
  </si>
  <si>
    <t>AhJYBUQ2</t>
  </si>
  <si>
    <t>AhXV2XZW</t>
  </si>
  <si>
    <t>AhMW5L7E</t>
  </si>
  <si>
    <t>AhMEDE0R</t>
  </si>
  <si>
    <t>AhS4YSCJ</t>
  </si>
  <si>
    <t>AhHQIF60</t>
  </si>
  <si>
    <t>Ah430HQ1</t>
  </si>
  <si>
    <t>AhT8ZZ8F</t>
  </si>
  <si>
    <t>AhA5UK0J</t>
  </si>
  <si>
    <t>AhGH5YA9</t>
  </si>
  <si>
    <t>Ah0OVH0V</t>
  </si>
  <si>
    <t>AhDIU3IZ</t>
  </si>
  <si>
    <t>Ah29P6P2</t>
  </si>
  <si>
    <t>Ah7TGI2T</t>
  </si>
  <si>
    <t>AhBFZKSD</t>
  </si>
  <si>
    <t>AhBEJ2VM</t>
  </si>
  <si>
    <t>AhIDFMUD</t>
  </si>
  <si>
    <t>AhR4RZUT</t>
  </si>
  <si>
    <t>AhU9OI7S</t>
  </si>
  <si>
    <t>AhHUH6L0</t>
  </si>
  <si>
    <t>Ah7SFWSF</t>
  </si>
  <si>
    <t>AhV54I3F</t>
  </si>
  <si>
    <t>Ah8KR6AW</t>
  </si>
  <si>
    <t>AhODTM1T</t>
  </si>
  <si>
    <t>Pune</t>
  </si>
  <si>
    <t>PuZS04C9</t>
  </si>
  <si>
    <t>Pu2G0GWT</t>
  </si>
  <si>
    <t>PuUR4AEP</t>
  </si>
  <si>
    <t>Pu00V25P</t>
  </si>
  <si>
    <t>PuMI3UEA</t>
  </si>
  <si>
    <t>Pu9A4Y42</t>
  </si>
  <si>
    <t>PuPFF709</t>
  </si>
  <si>
    <t>PuTNR98G</t>
  </si>
  <si>
    <t>PuAYCL3Q</t>
  </si>
  <si>
    <t>PuY42R86</t>
  </si>
  <si>
    <t>Pu2XBDXS</t>
  </si>
  <si>
    <t>PuYQ9X1P</t>
  </si>
  <si>
    <t>PuXQHRDR</t>
  </si>
  <si>
    <t>Pu8CB1MX</t>
  </si>
  <si>
    <t>PuIBQVPU</t>
  </si>
  <si>
    <t>PuRNRSBJ</t>
  </si>
  <si>
    <t>PuOVW45Y</t>
  </si>
  <si>
    <t>Pu223XK9</t>
  </si>
  <si>
    <t>Pu00EEUX</t>
  </si>
  <si>
    <t>PuJ80M5Y</t>
  </si>
  <si>
    <t>Pu52PPNV</t>
  </si>
  <si>
    <t>PuV419IZ</t>
  </si>
  <si>
    <t>PuJO62QD</t>
  </si>
  <si>
    <t>PuR5QMFM</t>
  </si>
  <si>
    <t>PuGONE4M</t>
  </si>
  <si>
    <t>PuQ50UM5</t>
  </si>
  <si>
    <t>PuVITHRL</t>
  </si>
  <si>
    <t>PuVFRQ55</t>
  </si>
  <si>
    <t>PuAUTVJ4</t>
  </si>
  <si>
    <t>PuI1O0HW</t>
  </si>
  <si>
    <t>Jaipur</t>
  </si>
  <si>
    <t>JaV37JLI</t>
  </si>
  <si>
    <t>JaRJYIOY</t>
  </si>
  <si>
    <t>JaO3XEXH</t>
  </si>
  <si>
    <t>JaXLZTP9</t>
  </si>
  <si>
    <t>JaJ5ZM3V</t>
  </si>
  <si>
    <t>Ja20KLR8</t>
  </si>
  <si>
    <t>JaO78JQ5</t>
  </si>
  <si>
    <t>JaPMCTFP</t>
  </si>
  <si>
    <t>JaP4J9H2</t>
  </si>
  <si>
    <t>JaLX79U2</t>
  </si>
  <si>
    <t>JaG0SVR9</t>
  </si>
  <si>
    <t>JaP7GGH4</t>
  </si>
  <si>
    <t>Ja8HN3XR</t>
  </si>
  <si>
    <t>JaN732B1</t>
  </si>
  <si>
    <t>Ja5SSX87</t>
  </si>
  <si>
    <t>JaA351B0</t>
  </si>
  <si>
    <t>JaTZ0HZN</t>
  </si>
  <si>
    <t>Ja76J6QJ</t>
  </si>
  <si>
    <t>JaVGTAD0</t>
  </si>
  <si>
    <t>JaKZECRZ</t>
  </si>
  <si>
    <t>JaW1V245</t>
  </si>
  <si>
    <t>JaWF3NZG</t>
  </si>
  <si>
    <t>JaWKD0HD</t>
  </si>
  <si>
    <t>Lucknow</t>
  </si>
  <si>
    <t>LuXJUQE5</t>
  </si>
  <si>
    <t>LuHTZ6UV</t>
  </si>
  <si>
    <t>LuD38NSQ</t>
  </si>
  <si>
    <t>LuNU12BU</t>
  </si>
  <si>
    <t>Lu0LQD44</t>
  </si>
  <si>
    <t>LuC4P2I5</t>
  </si>
  <si>
    <t>LuF4XY9N</t>
  </si>
  <si>
    <t>LuZUZBIP</t>
  </si>
  <si>
    <t>LuLHIV8A</t>
  </si>
  <si>
    <t>Lu2Y4KJB</t>
  </si>
  <si>
    <t>LuJDP2H9</t>
  </si>
  <si>
    <t>LuMZY31K</t>
  </si>
  <si>
    <t>Lu88YST4</t>
  </si>
  <si>
    <t>LuZUY2YV</t>
  </si>
  <si>
    <t>LuP7ENCU</t>
  </si>
  <si>
    <t>LuI2ITED</t>
  </si>
  <si>
    <t>LuBQFCHL</t>
  </si>
  <si>
    <t>LuL0WDEY</t>
  </si>
  <si>
    <t>LuJDPPI9</t>
  </si>
  <si>
    <t>LuVF0T3Y</t>
  </si>
  <si>
    <t>LuLO84FS</t>
  </si>
  <si>
    <t>LuL0LIUF</t>
  </si>
  <si>
    <t>LuOGIMGE</t>
  </si>
  <si>
    <t>LuZCS8DS</t>
  </si>
  <si>
    <t>Lu6I5PFF</t>
  </si>
  <si>
    <t>LuMYVYSS</t>
  </si>
  <si>
    <t>LuX4EKM4</t>
  </si>
  <si>
    <t>LuZYX8TH</t>
  </si>
  <si>
    <t>LuDJGV47</t>
  </si>
  <si>
    <t>Mu2YTVME</t>
  </si>
  <si>
    <t>Network Auditing</t>
  </si>
  <si>
    <t>MuWZTXPY</t>
  </si>
  <si>
    <t>New Installation</t>
  </si>
  <si>
    <t>Mu0N7ZPH</t>
  </si>
  <si>
    <t>Mu6ZCS6H</t>
  </si>
  <si>
    <t>MuYN477S</t>
  </si>
  <si>
    <t>Network Expansion</t>
  </si>
  <si>
    <t>Mu5IWQOZ</t>
  </si>
  <si>
    <t>MuDHNU6G</t>
  </si>
  <si>
    <t>MuAJS4YY</t>
  </si>
  <si>
    <t>Maintenance Work</t>
  </si>
  <si>
    <t>MuCOZ57S</t>
  </si>
  <si>
    <t>MuD6HO5J</t>
  </si>
  <si>
    <t>MuGQXZ50</t>
  </si>
  <si>
    <t>MuBC2Q3R</t>
  </si>
  <si>
    <t>MuM4617R</t>
  </si>
  <si>
    <t>Mu6X2JYQ</t>
  </si>
  <si>
    <t>Mu9240ZO</t>
  </si>
  <si>
    <t>MuCBZKCL</t>
  </si>
  <si>
    <t>MuI28HZY</t>
  </si>
  <si>
    <t>Shifting</t>
  </si>
  <si>
    <t>MuZLPJ3S</t>
  </si>
  <si>
    <t>MuH462K5</t>
  </si>
  <si>
    <t>Mu5BFK33</t>
  </si>
  <si>
    <t>MuEVVG9K</t>
  </si>
  <si>
    <t>Mu4EKG6C</t>
  </si>
  <si>
    <t>MuN30IPR</t>
  </si>
  <si>
    <t>MuMMTXQ3</t>
  </si>
  <si>
    <t>MuAOZP7V</t>
  </si>
  <si>
    <t>MuXWAF14</t>
  </si>
  <si>
    <t>MuE9EMYG</t>
  </si>
  <si>
    <t>Mu6UZLHP</t>
  </si>
  <si>
    <t>MuE58JSC</t>
  </si>
  <si>
    <t>MuE6AS4V</t>
  </si>
  <si>
    <t>MuS9XRVT</t>
  </si>
  <si>
    <t>Mu2P7TAJ</t>
  </si>
  <si>
    <t>MuYB2CQN</t>
  </si>
  <si>
    <t>De2IPNTX</t>
  </si>
  <si>
    <t>DeJKSHCG</t>
  </si>
  <si>
    <t>DeL642NU</t>
  </si>
  <si>
    <t>DeMMZAHD</t>
  </si>
  <si>
    <t>De8LJJG0</t>
  </si>
  <si>
    <t>DeWN46M6</t>
  </si>
  <si>
    <t>DeETIH2A</t>
  </si>
  <si>
    <t>DeV2YLVD</t>
  </si>
  <si>
    <t>De5UPEKD</t>
  </si>
  <si>
    <t>DeV922GB</t>
  </si>
  <si>
    <t>DeRVDHXZ</t>
  </si>
  <si>
    <t>DeYYPO9F</t>
  </si>
  <si>
    <t>DeAG1A61</t>
  </si>
  <si>
    <t>DePXLE5F</t>
  </si>
  <si>
    <t>DeGSJBA9</t>
  </si>
  <si>
    <t>DeA2ATQS</t>
  </si>
  <si>
    <t>De12N38O</t>
  </si>
  <si>
    <t>De9A1VSN</t>
  </si>
  <si>
    <t>DeJNR9XE</t>
  </si>
  <si>
    <t>DeAWKHX8</t>
  </si>
  <si>
    <t>DeV370BW</t>
  </si>
  <si>
    <t>BaUO9D36</t>
  </si>
  <si>
    <t>Ba07277W</t>
  </si>
  <si>
    <t>BaE6BUE3</t>
  </si>
  <si>
    <t>BaEL3QIB</t>
  </si>
  <si>
    <t>BaFXC6MY</t>
  </si>
  <si>
    <t>BaJM4XUE</t>
  </si>
  <si>
    <t>Ba0APWYU</t>
  </si>
  <si>
    <t>BaOH135X</t>
  </si>
  <si>
    <t>BaUOIR36</t>
  </si>
  <si>
    <t>BaDOTR9T</t>
  </si>
  <si>
    <t>BaBEMM5V</t>
  </si>
  <si>
    <t>Ba7CMF2M</t>
  </si>
  <si>
    <t>BaGDDSXS</t>
  </si>
  <si>
    <t>BaISOME8</t>
  </si>
  <si>
    <t>BaKR5U0T</t>
  </si>
  <si>
    <t>Ba7G12CE</t>
  </si>
  <si>
    <t>BaHYJXKN</t>
  </si>
  <si>
    <t>Ba4F3CGS</t>
  </si>
  <si>
    <t>BaY1GOSR</t>
  </si>
  <si>
    <t>BaABAR47</t>
  </si>
  <si>
    <t>BaM69TQZ</t>
  </si>
  <si>
    <t>BaD16NII</t>
  </si>
  <si>
    <t>BaEIK6JR</t>
  </si>
  <si>
    <t>BaC352CF</t>
  </si>
  <si>
    <t>BaPKY2TW</t>
  </si>
  <si>
    <t>HyYYSYCM</t>
  </si>
  <si>
    <t>HyT0LNAV</t>
  </si>
  <si>
    <t>HyDCFPYX</t>
  </si>
  <si>
    <t>HyVUIN40</t>
  </si>
  <si>
    <t>HyTNCA4G</t>
  </si>
  <si>
    <t>Hy1Y4F98</t>
  </si>
  <si>
    <t>HyBOWRHH</t>
  </si>
  <si>
    <t>HyHCMY1A</t>
  </si>
  <si>
    <t>HyYQAB93</t>
  </si>
  <si>
    <t>HyFTI7PI</t>
  </si>
  <si>
    <t>HyO7H84Q</t>
  </si>
  <si>
    <t>Hy4OOKO6</t>
  </si>
  <si>
    <t>HyLXPP27</t>
  </si>
  <si>
    <t>HyAT5PNH</t>
  </si>
  <si>
    <t>Hy39IT56</t>
  </si>
  <si>
    <t>HyAJM4P8</t>
  </si>
  <si>
    <t>Hy19SJLR</t>
  </si>
  <si>
    <t>HyU2X3NQ</t>
  </si>
  <si>
    <t>Hy7GMG1V</t>
  </si>
  <si>
    <t>HyWJEJQK</t>
  </si>
  <si>
    <t>HyDVIA3W</t>
  </si>
  <si>
    <t>HyRZ2IA7</t>
  </si>
  <si>
    <t>HyG5J0R0</t>
  </si>
  <si>
    <t>HyQRQLWZ</t>
  </si>
  <si>
    <t>HySHXHMS</t>
  </si>
  <si>
    <t>HyYTJ1F1</t>
  </si>
  <si>
    <t>Hy9MWOA5</t>
  </si>
  <si>
    <t>Hy0DVWDB</t>
  </si>
  <si>
    <t>HyB1VMGP</t>
  </si>
  <si>
    <t>HyJ54OM6</t>
  </si>
  <si>
    <t>ChXYOUYO</t>
  </si>
  <si>
    <t>ChXFWOPZ</t>
  </si>
  <si>
    <t>ChHHIHDS</t>
  </si>
  <si>
    <t>Ch6VQD7Y</t>
  </si>
  <si>
    <t>ChAYMS0Z</t>
  </si>
  <si>
    <t>ChDS2OBK</t>
  </si>
  <si>
    <t>ChBTEN5S</t>
  </si>
  <si>
    <t>ChS2UQ1M</t>
  </si>
  <si>
    <t>ChLATPJL</t>
  </si>
  <si>
    <t>Ch9PIGFP</t>
  </si>
  <si>
    <t>ChHXWFEO</t>
  </si>
  <si>
    <t>ChR4UWVN</t>
  </si>
  <si>
    <t>ChSA356J</t>
  </si>
  <si>
    <t>ChO0I4I5</t>
  </si>
  <si>
    <t>ChE0C24I</t>
  </si>
  <si>
    <t>ChJAYETW</t>
  </si>
  <si>
    <t>ChQ0DAU7</t>
  </si>
  <si>
    <t>Ch9WF1QJ</t>
  </si>
  <si>
    <t>ChV96B1A</t>
  </si>
  <si>
    <t>ChHEZ6R9</t>
  </si>
  <si>
    <t>ChGGT9LJ</t>
  </si>
  <si>
    <t>ChNGQGNI</t>
  </si>
  <si>
    <t>ChFQKYLC</t>
  </si>
  <si>
    <t>ChLLC558</t>
  </si>
  <si>
    <t>KoWA7Q4I</t>
  </si>
  <si>
    <t>KoPQ9YTG</t>
  </si>
  <si>
    <t>KoEG32JH</t>
  </si>
  <si>
    <t>KoVH7UQG</t>
  </si>
  <si>
    <t>KoDJF2TA</t>
  </si>
  <si>
    <t>KoC36OS6</t>
  </si>
  <si>
    <t>Ko2ASJZ4</t>
  </si>
  <si>
    <t>KoYB6B7R</t>
  </si>
  <si>
    <t>KoKERF3K</t>
  </si>
  <si>
    <t>KoKOT3HF</t>
  </si>
  <si>
    <t>KoL9GCKZ</t>
  </si>
  <si>
    <t>Ko3078EM</t>
  </si>
  <si>
    <t>KoCHT6J5</t>
  </si>
  <si>
    <t>KoASDDVU</t>
  </si>
  <si>
    <t>KoCFHN65</t>
  </si>
  <si>
    <t>KoPANZRW</t>
  </si>
  <si>
    <t>KoM48XYJ</t>
  </si>
  <si>
    <t>KoWHSYPS</t>
  </si>
  <si>
    <t>KoCE8HJ9</t>
  </si>
  <si>
    <t>KoBVX25B</t>
  </si>
  <si>
    <t>KoTUGZ4C</t>
  </si>
  <si>
    <t>KoEAVULW</t>
  </si>
  <si>
    <t>KoGSSJQK</t>
  </si>
  <si>
    <t>KoKXB5ZI</t>
  </si>
  <si>
    <t>KoBHC9UY</t>
  </si>
  <si>
    <t>KoIUTPDM</t>
  </si>
  <si>
    <t>KoJC0Y7D</t>
  </si>
  <si>
    <t>KoY5OAOY</t>
  </si>
  <si>
    <t>Ko3PP48L</t>
  </si>
  <si>
    <t>KoB0599A</t>
  </si>
  <si>
    <t>KoBDAMZJ</t>
  </si>
  <si>
    <t>Ah6JQ3ON</t>
  </si>
  <si>
    <t>AhVSBAO9</t>
  </si>
  <si>
    <t>AhUT1P8G</t>
  </si>
  <si>
    <t>Ah36E0J8</t>
  </si>
  <si>
    <t>AhORPTDY</t>
  </si>
  <si>
    <t>AhK1MJ8B</t>
  </si>
  <si>
    <t>Ah4TTC51</t>
  </si>
  <si>
    <t>AhPG4C7E</t>
  </si>
  <si>
    <t>Ah2GO5IP</t>
  </si>
  <si>
    <t>AhJ79YUJ</t>
  </si>
  <si>
    <t>AhLMADTZ</t>
  </si>
  <si>
    <t>Ah91XJFW</t>
  </si>
  <si>
    <t>Ah89ATNA</t>
  </si>
  <si>
    <t>AhEY5P5V</t>
  </si>
  <si>
    <t>AhBKY7US</t>
  </si>
  <si>
    <t>AhH4PFR4</t>
  </si>
  <si>
    <t>AhIXJF1Q</t>
  </si>
  <si>
    <t>AhEYDPSL</t>
  </si>
  <si>
    <t>AhOPEZSH</t>
  </si>
  <si>
    <t>AhQBV9QB</t>
  </si>
  <si>
    <t>AhBGMDH8</t>
  </si>
  <si>
    <t>AhBWA0SE</t>
  </si>
  <si>
    <t>AhVKE39D</t>
  </si>
  <si>
    <t>AhODUJLG</t>
  </si>
  <si>
    <t>AhQ2A03F</t>
  </si>
  <si>
    <t>Ah0SGDHB</t>
  </si>
  <si>
    <t>AhF7939E</t>
  </si>
  <si>
    <t>Ah7Q2K47</t>
  </si>
  <si>
    <t>AhOAXGQM</t>
  </si>
  <si>
    <t>Ah9FR68U</t>
  </si>
  <si>
    <t>AhKHYGI0</t>
  </si>
  <si>
    <t>PuFTRLN5</t>
  </si>
  <si>
    <t>PuHXPDWI</t>
  </si>
  <si>
    <t>PuO35QNA</t>
  </si>
  <si>
    <t>PuNXIB76</t>
  </si>
  <si>
    <t>PuEBI9ON</t>
  </si>
  <si>
    <t>PuJZRNB5</t>
  </si>
  <si>
    <t>PuYC3L3S</t>
  </si>
  <si>
    <t>PuWCYRU3</t>
  </si>
  <si>
    <t>Pu6ZLZVF</t>
  </si>
  <si>
    <t>Pu847ME7</t>
  </si>
  <si>
    <t>PuZG517J</t>
  </si>
  <si>
    <t>PuFKDLGD</t>
  </si>
  <si>
    <t>PuLBSBHA</t>
  </si>
  <si>
    <t>PuSS0W4O</t>
  </si>
  <si>
    <t>PuYAB4JM</t>
  </si>
  <si>
    <t>Pu6RVH1N</t>
  </si>
  <si>
    <t>PuASOSSI</t>
  </si>
  <si>
    <t>PuL62A4E</t>
  </si>
  <si>
    <t>PuF386FX</t>
  </si>
  <si>
    <t>PuLHFWGP</t>
  </si>
  <si>
    <t>PuCV5KMM</t>
  </si>
  <si>
    <t>PuOYL6VS</t>
  </si>
  <si>
    <t>PuSW91KR</t>
  </si>
  <si>
    <t>PuFCK94W</t>
  </si>
  <si>
    <t>Pu0GDDDW</t>
  </si>
  <si>
    <t>PuR8Q11P</t>
  </si>
  <si>
    <t>Pu0Y2DX3</t>
  </si>
  <si>
    <t>PuMYWUKS</t>
  </si>
  <si>
    <t>Pu87QUJ8</t>
  </si>
  <si>
    <t>JaEHWV2X</t>
  </si>
  <si>
    <t>JaX3WP2U</t>
  </si>
  <si>
    <t>JaTTWLXI</t>
  </si>
  <si>
    <t>JaV07LK2</t>
  </si>
  <si>
    <t>JaBHSBMQ</t>
  </si>
  <si>
    <t>Ja1MOO1U</t>
  </si>
  <si>
    <t>JaOB2826</t>
  </si>
  <si>
    <t>JaQN96DE</t>
  </si>
  <si>
    <t>JaZ39XAN</t>
  </si>
  <si>
    <t>JaA716LU</t>
  </si>
  <si>
    <t>JaTHXI9I</t>
  </si>
  <si>
    <t>JaTNXY9Z</t>
  </si>
  <si>
    <t>JaY7K1ND</t>
  </si>
  <si>
    <t>JaL8SGEQ</t>
  </si>
  <si>
    <t>Ja94UDAW</t>
  </si>
  <si>
    <t>Ja8BXC06</t>
  </si>
  <si>
    <t>JaV1JU54</t>
  </si>
  <si>
    <t>Ja4MSOOB</t>
  </si>
  <si>
    <t>JaHI17IC</t>
  </si>
  <si>
    <t>JaEOB264</t>
  </si>
  <si>
    <t>JaVMDDZ6</t>
  </si>
  <si>
    <t>Ja9TZ6FO</t>
  </si>
  <si>
    <t>JaI2OYB2</t>
  </si>
  <si>
    <t>Lu6SM0ZE</t>
  </si>
  <si>
    <t>LuS5CZ4C</t>
  </si>
  <si>
    <t>LuQMOLFM</t>
  </si>
  <si>
    <t>LuOU6B8L</t>
  </si>
  <si>
    <t>Lu1T1513</t>
  </si>
  <si>
    <t>LuPWJBVI</t>
  </si>
  <si>
    <t>Lu7NHB4A</t>
  </si>
  <si>
    <t>Lu15ASSH</t>
  </si>
  <si>
    <t>LuZRYYS9</t>
  </si>
  <si>
    <t>Lu3MX66Q</t>
  </si>
  <si>
    <t>Lu5T68B0</t>
  </si>
  <si>
    <t>LuD25FOP</t>
  </si>
  <si>
    <t>LuPQRQAM</t>
  </si>
  <si>
    <t>LuBDPI97</t>
  </si>
  <si>
    <t>LuX4TM68</t>
  </si>
  <si>
    <t>LuPKJ1PC</t>
  </si>
  <si>
    <t>LuIN1896</t>
  </si>
  <si>
    <t>Lu9RRYZ2</t>
  </si>
  <si>
    <t>LuZP1BEK</t>
  </si>
  <si>
    <t>LuWG2YLW</t>
  </si>
  <si>
    <t>Lu7PDC67</t>
  </si>
  <si>
    <t>LuTLXAVQ</t>
  </si>
  <si>
    <t>status</t>
  </si>
  <si>
    <t>Grand Total</t>
  </si>
  <si>
    <t>Quality Check 1: Which city has the lowest frequency of the "Connected" network category?</t>
  </si>
  <si>
    <t>Total</t>
  </si>
  <si>
    <t>Quality Check 2: How many cities have reported the network "Outage" category more than 5 times?</t>
  </si>
  <si>
    <t>Quality Check 3: What is the median frequency of "Network Expansion" category across all cities?</t>
  </si>
  <si>
    <t>Median</t>
  </si>
  <si>
    <t>Quality Check 5: What is the average frequency of the "Suspended" category across all cities?</t>
  </si>
  <si>
    <t>Average</t>
  </si>
  <si>
    <t>4: What is the total frequency of the 'shifting' category in Ahmedabad city?</t>
  </si>
  <si>
    <t>Quality Check 4: What is the total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</si>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</sst>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rgb="FF101112"/>
      <name val="Times New Roman"/>
      <family val="1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4"/>
        <b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 style="thin">
        <color theme="4" tint="0.39997558519241921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NumberFormat="1"/>
    <xf numFmtId="0" fontId="0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7" xfId="0" applyFont="1" applyFill="1" applyBorder="1"/>
    <xf numFmtId="0" fontId="0" fillId="3" borderId="8" xfId="0" applyFont="1" applyFill="1" applyBorder="1"/>
    <xf numFmtId="0" fontId="0" fillId="3" borderId="6" xfId="0" applyNumberFormat="1" applyFont="1" applyFill="1" applyBorder="1"/>
    <xf numFmtId="0" fontId="0" fillId="3" borderId="9" xfId="0" applyNumberFormat="1" applyFont="1" applyFill="1" applyBorder="1"/>
    <xf numFmtId="0" fontId="0" fillId="3" borderId="10" xfId="0" applyFont="1" applyFill="1" applyBorder="1"/>
    <xf numFmtId="0" fontId="1" fillId="2" borderId="11" xfId="0" applyFont="1" applyFill="1" applyBorder="1"/>
    <xf numFmtId="0" fontId="0" fillId="3" borderId="12" xfId="0" applyNumberFormat="1" applyFont="1" applyFill="1" applyBorder="1"/>
    <xf numFmtId="0" fontId="0" fillId="4" borderId="12" xfId="0" applyNumberFormat="1" applyFont="1" applyFill="1" applyBorder="1"/>
    <xf numFmtId="0" fontId="0" fillId="4" borderId="7" xfId="0" applyFont="1" applyFill="1" applyBorder="1"/>
    <xf numFmtId="0" fontId="1" fillId="5" borderId="1" xfId="0" applyFont="1" applyFill="1" applyBorder="1"/>
    <xf numFmtId="0" fontId="5" fillId="0" borderId="0" xfId="0" applyFont="1"/>
    <xf numFmtId="0" fontId="4" fillId="6" borderId="0" xfId="0" applyFont="1" applyFill="1" applyAlignment="1">
      <alignment vertical="center"/>
    </xf>
    <xf numFmtId="0" fontId="0" fillId="6" borderId="0" xfId="0" applyFill="1" applyAlignment="1">
      <alignment wrapText="1"/>
    </xf>
    <xf numFmtId="0" fontId="0" fillId="6" borderId="0" xfId="0" applyFill="1"/>
    <xf numFmtId="0" fontId="3" fillId="6" borderId="0" xfId="0" applyFont="1" applyFill="1"/>
    <xf numFmtId="0" fontId="2" fillId="6" borderId="0" xfId="0" applyFont="1" applyFill="1"/>
    <xf numFmtId="0" fontId="4" fillId="6" borderId="0" xfId="0" applyFont="1" applyFill="1"/>
    <xf numFmtId="0" fontId="5" fillId="6" borderId="0" xfId="0" applyFont="1" applyFill="1"/>
    <xf numFmtId="0" fontId="3" fillId="7" borderId="0" xfId="0" applyNumberFormat="1" applyFont="1" applyFill="1" applyBorder="1"/>
    <xf numFmtId="0" fontId="0" fillId="8" borderId="0" xfId="0" applyFill="1"/>
    <xf numFmtId="0" fontId="0" fillId="8" borderId="2" xfId="0" applyNumberFormat="1" applyFont="1" applyFill="1" applyBorder="1"/>
    <xf numFmtId="0" fontId="0" fillId="4" borderId="6" xfId="0" applyNumberFormat="1" applyFont="1" applyFill="1" applyBorder="1"/>
    <xf numFmtId="0" fontId="0" fillId="9" borderId="0" xfId="0" applyFill="1"/>
    <xf numFmtId="0" fontId="0" fillId="4" borderId="9" xfId="0" applyNumberFormat="1" applyFont="1" applyFill="1" applyBorder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FFC00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numFmt numFmtId="0" formatCode="General"/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16236C9-5455-4BB5-A491-4ECF0B2A8BAD}" autoFormatId="16" applyNumberFormats="0" applyBorderFormats="0" applyFontFormats="0" applyPatternFormats="0" applyAlignmentFormats="0" applyWidthHeightFormats="0">
  <queryTableRefresh nextId="5">
    <queryTableFields count="3">
      <queryTableField id="1" name="city" tableColumnId="1"/>
      <queryTableField id="2" name="network_id" tableColumnId="2"/>
      <queryTableField id="4" name="statu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2593B02-9C9E-48D6-9356-E7245ED0A604}" autoFormatId="16" applyNumberFormats="0" applyBorderFormats="0" applyFontFormats="0" applyPatternFormats="0" applyAlignmentFormats="0" applyWidthHeightFormats="0">
  <queryTableRefresh nextId="13">
    <queryTableFields count="12">
      <queryTableField id="1" name="city" tableColumnId="1"/>
      <queryTableField id="2" name="Connected" tableColumnId="2"/>
      <queryTableField id="3" name="Issue Reported" tableColumnId="3"/>
      <queryTableField id="4" name="Maintenance Work" tableColumnId="4"/>
      <queryTableField id="5" name="Network Auditing" tableColumnId="5"/>
      <queryTableField id="6" name="Network Expansion" tableColumnId="6"/>
      <queryTableField id="7" name="New Installation" tableColumnId="7"/>
      <queryTableField id="8" name="Outage" tableColumnId="8"/>
      <queryTableField id="9" name="Pending Activation" tableColumnId="9"/>
      <queryTableField id="10" name="Shifting" tableColumnId="10"/>
      <queryTableField id="11" name="Suspended" tableColumnId="11"/>
      <queryTableField id="12" name="Grand Total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F936958-8FAD-4A5E-AD99-ED21CCF949E4}" autoFormatId="16" applyNumberFormats="0" applyBorderFormats="0" applyFontFormats="0" applyPatternFormats="0" applyAlignmentFormats="0" applyWidthHeightFormats="0">
  <queryTableRefresh nextId="5">
    <queryTableFields count="3">
      <queryTableField id="1" name="city" tableColumnId="1"/>
      <queryTableField id="2" name="network_id" tableColumnId="2"/>
      <queryTableField id="4" name="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E57F72-FBFC-418A-B9CB-A20D8AFC7587}" name="activity_data" displayName="activity_data" ref="A1:C270" tableType="queryTable" totalsRowShown="0">
  <autoFilter ref="A1:C270" xr:uid="{5EE57F72-FBFC-418A-B9CB-A20D8AFC7587}"/>
  <tableColumns count="3">
    <tableColumn id="1" xr3:uid="{DC66E838-A85E-4625-8EED-F75CEC460B40}" uniqueName="1" name="city" queryTableFieldId="1" dataDxfId="39"/>
    <tableColumn id="2" xr3:uid="{4D26A49E-BD35-4C6B-A995-5A3E58A5CFBE}" uniqueName="2" name="network_id" queryTableFieldId="2" dataDxfId="38"/>
    <tableColumn id="4" xr3:uid="{841976C8-56E4-4E68-A8BB-785FAB87CAD9}" uniqueName="4" name="status" queryTableFieldId="4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87CEA5-7883-4120-BC93-112051AE2FF6}" name="Append1" displayName="Append1" ref="A1:L12" tableType="queryTable" totalsRowCount="1" headerRowDxfId="36" totalsRowDxfId="35">
  <autoFilter ref="A1:L11" xr:uid="{8E87CEA5-7883-4120-BC93-112051AE2FF6}"/>
  <tableColumns count="12">
    <tableColumn id="1" xr3:uid="{8908D53D-E0D8-4B2A-B292-8FA20638A45A}" uniqueName="1" name="City" totalsRowLabel="Total" queryTableFieldId="1" dataDxfId="34" totalsRowDxfId="33"/>
    <tableColumn id="2" xr3:uid="{5DF3FBF8-5D26-4723-9B1C-E9288F47D746}" uniqueName="2" name="Connected" totalsRowFunction="sum" queryTableFieldId="2" totalsRowDxfId="32"/>
    <tableColumn id="3" xr3:uid="{00492A8B-9773-4101-9014-99322F30CA72}" uniqueName="3" name="Issue Reported" totalsRowFunction="sum" queryTableFieldId="3" totalsRowDxfId="31"/>
    <tableColumn id="4" xr3:uid="{75918342-E31B-4122-9E05-6A825D7F7E78}" uniqueName="4" name="Maintenance Work" totalsRowFunction="sum" queryTableFieldId="4" totalsRowDxfId="30"/>
    <tableColumn id="5" xr3:uid="{1F136206-4482-4B30-82E3-58D9233A886D}" uniqueName="5" name="Network Auditing" totalsRowFunction="sum" queryTableFieldId="5" totalsRowDxfId="29"/>
    <tableColumn id="6" xr3:uid="{FC149A78-ECF8-44DB-8C95-2BCC5624CEBE}" uniqueName="6" name="Network Expansion" totalsRowFunction="sum" queryTableFieldId="6" totalsRowDxfId="28"/>
    <tableColumn id="7" xr3:uid="{D2F1FD4B-F4F0-4CCC-A2E3-E418D4A754CD}" uniqueName="7" name="New Installation" totalsRowFunction="sum" queryTableFieldId="7" totalsRowDxfId="27"/>
    <tableColumn id="8" xr3:uid="{9FBD5E1D-74BB-4313-8C18-F51407206F13}" uniqueName="8" name="Outage" totalsRowFunction="sum" queryTableFieldId="8" totalsRowDxfId="26"/>
    <tableColumn id="9" xr3:uid="{3E1215A7-1785-409F-AF96-143EE32CB67C}" uniqueName="9" name="Pending Activation" totalsRowFunction="sum" queryTableFieldId="9" totalsRowDxfId="25"/>
    <tableColumn id="10" xr3:uid="{AD1474A5-808F-44C6-8CED-D5736BFA16EC}" uniqueName="10" name="Shifting" totalsRowFunction="sum" queryTableFieldId="10" totalsRowDxfId="24"/>
    <tableColumn id="11" xr3:uid="{8B2A15E4-5FE2-47F4-BE10-2ADC4F332B15}" uniqueName="11" name="Suspended" totalsRowFunction="sum" queryTableFieldId="11" totalsRowDxfId="23"/>
    <tableColumn id="12" xr3:uid="{4164E437-F5ED-48D0-A237-46A975EEDA0D}" uniqueName="12" name="Grand Total" totalsRowFunction="sum" queryTableFieldId="12" totalsRowDxfId="22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A89AA-CA96-4FA6-A599-5475F2129491}" name="network_data" displayName="network_data" ref="A1:C235" tableType="queryTable" totalsRowShown="0">
  <autoFilter ref="A1:C235" xr:uid="{FA7A89AA-CA96-4FA6-A599-5475F2129491}"/>
  <tableColumns count="3">
    <tableColumn id="1" xr3:uid="{87059F6F-F675-4B50-8344-FEA6BC868A67}" uniqueName="1" name="city" queryTableFieldId="1" dataDxfId="21"/>
    <tableColumn id="2" xr3:uid="{BDCBACA3-1FBB-46C1-89E7-4A720404C359}" uniqueName="2" name="network_id" queryTableFieldId="2" dataDxfId="20"/>
    <tableColumn id="4" xr3:uid="{076512D9-9175-4213-B3BD-8A9CA9F60112}" uniqueName="4" name="status" queryTableFieldId="4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5D6841-C571-47E4-BD19-7C423BF74B1E}" name="Table5" displayName="Table5" ref="A3:B4" headerRowDxfId="18" headerRowBorderDxfId="17" tableBorderDxfId="16" totalsRowBorderDxfId="15">
  <autoFilter ref="A3:B4" xr:uid="{3B5D6841-C571-47E4-BD19-7C423BF74B1E}"/>
  <sortState xmlns:xlrd2="http://schemas.microsoft.com/office/spreadsheetml/2017/richdata2" ref="A4:B4">
    <sortCondition ref="B3:B4"/>
  </sortState>
  <tableColumns count="2">
    <tableColumn id="1" xr3:uid="{C0493CAA-DABC-46B8-9930-BB28CBF50663}" name="city" totalsRowLabel="Total" dataDxfId="14" totalsRowDxfId="13"/>
    <tableColumn id="2" xr3:uid="{4F135E53-4800-4D8A-BE91-DCA6C01FC618}" name="Connected" totalsRowFunction="sum" dataDxfId="12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A1D9E7-B6A5-4A24-8884-9488BADFBA6A}" name="Table6" displayName="Table6" ref="A9:B12" totalsRowShown="0" headerRowDxfId="11" headerRowBorderDxfId="10" tableBorderDxfId="9" totalsRowBorderDxfId="8">
  <autoFilter ref="A9:B12" xr:uid="{1DA1D9E7-B6A5-4A24-8884-9488BADFBA6A}"/>
  <tableColumns count="2">
    <tableColumn id="1" xr3:uid="{5614DA94-5D8E-4B23-A885-58587BCECA8D}" name="city" dataDxfId="7"/>
    <tableColumn id="2" xr3:uid="{354CBF9F-0854-4321-9121-51ABF980C46F}" name="Outage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CFA408-5E6E-4DC5-ACE5-1DA24073D1CD}" name="Table7" displayName="Table7" ref="A17:B27" totalsRowShown="0" headerRowDxfId="5" headerRowBorderDxfId="4" tableBorderDxfId="3" totalsRowBorderDxfId="2">
  <autoFilter ref="A17:B27" xr:uid="{35CFA408-5E6E-4DC5-ACE5-1DA24073D1CD}"/>
  <tableColumns count="2">
    <tableColumn id="1" xr3:uid="{8D7746E6-C2C6-400F-B191-BB9118E2C24A}" name="city" dataDxfId="1"/>
    <tableColumn id="2" xr3:uid="{56B5BADA-2D7E-4C4B-B943-73FF471C8B36}" name="Network Expans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7F31-504E-443A-BFF2-332EA185FC77}">
  <dimension ref="A1:C270"/>
  <sheetViews>
    <sheetView workbookViewId="0"/>
  </sheetViews>
  <sheetFormatPr defaultRowHeight="13.8"/>
  <cols>
    <col min="1" max="1" width="10.69921875" bestFit="1" customWidth="1"/>
    <col min="2" max="2" width="12.296875" bestFit="1" customWidth="1"/>
    <col min="3" max="4" width="16.296875" bestFit="1" customWidth="1"/>
  </cols>
  <sheetData>
    <row r="1" spans="1:3">
      <c r="A1" t="s">
        <v>0</v>
      </c>
      <c r="B1" t="s">
        <v>1</v>
      </c>
      <c r="C1" t="s">
        <v>525</v>
      </c>
    </row>
    <row r="2" spans="1:3">
      <c r="A2" s="1" t="s">
        <v>2</v>
      </c>
      <c r="B2" s="1" t="s">
        <v>251</v>
      </c>
      <c r="C2" s="1" t="s">
        <v>252</v>
      </c>
    </row>
    <row r="3" spans="1:3">
      <c r="A3" s="1" t="s">
        <v>2</v>
      </c>
      <c r="B3" s="1" t="s">
        <v>253</v>
      </c>
      <c r="C3" s="1" t="s">
        <v>254</v>
      </c>
    </row>
    <row r="4" spans="1:3">
      <c r="A4" s="1" t="s">
        <v>2</v>
      </c>
      <c r="B4" s="1" t="s">
        <v>255</v>
      </c>
      <c r="C4" s="1" t="s">
        <v>252</v>
      </c>
    </row>
    <row r="5" spans="1:3">
      <c r="A5" s="1" t="s">
        <v>2</v>
      </c>
      <c r="B5" s="1" t="s">
        <v>256</v>
      </c>
      <c r="C5" s="1" t="s">
        <v>254</v>
      </c>
    </row>
    <row r="6" spans="1:3">
      <c r="A6" s="1" t="s">
        <v>2</v>
      </c>
      <c r="B6" s="1" t="s">
        <v>257</v>
      </c>
      <c r="C6" s="1" t="s">
        <v>258</v>
      </c>
    </row>
    <row r="7" spans="1:3">
      <c r="A7" s="1" t="s">
        <v>2</v>
      </c>
      <c r="B7" s="1" t="s">
        <v>259</v>
      </c>
      <c r="C7" s="1" t="s">
        <v>254</v>
      </c>
    </row>
    <row r="8" spans="1:3">
      <c r="A8" s="1" t="s">
        <v>2</v>
      </c>
      <c r="B8" s="1" t="s">
        <v>260</v>
      </c>
      <c r="C8" s="1" t="s">
        <v>258</v>
      </c>
    </row>
    <row r="9" spans="1:3">
      <c r="A9" s="1" t="s">
        <v>2</v>
      </c>
      <c r="B9" s="1" t="s">
        <v>261</v>
      </c>
      <c r="C9" s="1" t="s">
        <v>262</v>
      </c>
    </row>
    <row r="10" spans="1:3">
      <c r="A10" s="1" t="s">
        <v>2</v>
      </c>
      <c r="B10" s="1" t="s">
        <v>263</v>
      </c>
      <c r="C10" s="1" t="s">
        <v>258</v>
      </c>
    </row>
    <row r="11" spans="1:3">
      <c r="A11" s="1" t="s">
        <v>2</v>
      </c>
      <c r="B11" s="1" t="s">
        <v>264</v>
      </c>
      <c r="C11" s="1" t="s">
        <v>258</v>
      </c>
    </row>
    <row r="12" spans="1:3">
      <c r="A12" s="1" t="s">
        <v>2</v>
      </c>
      <c r="B12" s="1" t="s">
        <v>265</v>
      </c>
      <c r="C12" s="1" t="s">
        <v>252</v>
      </c>
    </row>
    <row r="13" spans="1:3">
      <c r="A13" s="1" t="s">
        <v>2</v>
      </c>
      <c r="B13" s="1" t="s">
        <v>266</v>
      </c>
      <c r="C13" s="1" t="s">
        <v>258</v>
      </c>
    </row>
    <row r="14" spans="1:3">
      <c r="A14" s="1" t="s">
        <v>2</v>
      </c>
      <c r="B14" s="1" t="s">
        <v>267</v>
      </c>
      <c r="C14" s="1" t="s">
        <v>252</v>
      </c>
    </row>
    <row r="15" spans="1:3">
      <c r="A15" s="1" t="s">
        <v>2</v>
      </c>
      <c r="B15" s="1" t="s">
        <v>268</v>
      </c>
      <c r="C15" s="1" t="s">
        <v>258</v>
      </c>
    </row>
    <row r="16" spans="1:3">
      <c r="A16" s="1" t="s">
        <v>2</v>
      </c>
      <c r="B16" s="1" t="s">
        <v>269</v>
      </c>
      <c r="C16" s="1" t="s">
        <v>252</v>
      </c>
    </row>
    <row r="17" spans="1:3">
      <c r="A17" s="1" t="s">
        <v>2</v>
      </c>
      <c r="B17" s="1" t="s">
        <v>270</v>
      </c>
      <c r="C17" s="1" t="s">
        <v>252</v>
      </c>
    </row>
    <row r="18" spans="1:3">
      <c r="A18" s="1" t="s">
        <v>2</v>
      </c>
      <c r="B18" s="1" t="s">
        <v>271</v>
      </c>
      <c r="C18" s="1" t="s">
        <v>272</v>
      </c>
    </row>
    <row r="19" spans="1:3">
      <c r="A19" s="1" t="s">
        <v>2</v>
      </c>
      <c r="B19" s="1" t="s">
        <v>273</v>
      </c>
      <c r="C19" s="1" t="s">
        <v>252</v>
      </c>
    </row>
    <row r="20" spans="1:3">
      <c r="A20" s="1" t="s">
        <v>2</v>
      </c>
      <c r="B20" s="1" t="s">
        <v>274</v>
      </c>
      <c r="C20" s="1" t="s">
        <v>258</v>
      </c>
    </row>
    <row r="21" spans="1:3">
      <c r="A21" s="1" t="s">
        <v>2</v>
      </c>
      <c r="B21" s="1" t="s">
        <v>275</v>
      </c>
      <c r="C21" s="1" t="s">
        <v>258</v>
      </c>
    </row>
    <row r="22" spans="1:3">
      <c r="A22" s="1" t="s">
        <v>2</v>
      </c>
      <c r="B22" s="1" t="s">
        <v>276</v>
      </c>
      <c r="C22" s="1" t="s">
        <v>258</v>
      </c>
    </row>
    <row r="23" spans="1:3">
      <c r="A23" s="1" t="s">
        <v>2</v>
      </c>
      <c r="B23" s="1" t="s">
        <v>277</v>
      </c>
      <c r="C23" s="1" t="s">
        <v>262</v>
      </c>
    </row>
    <row r="24" spans="1:3">
      <c r="A24" s="1" t="s">
        <v>2</v>
      </c>
      <c r="B24" s="1" t="s">
        <v>278</v>
      </c>
      <c r="C24" s="1" t="s">
        <v>272</v>
      </c>
    </row>
    <row r="25" spans="1:3">
      <c r="A25" s="1" t="s">
        <v>2</v>
      </c>
      <c r="B25" s="1" t="s">
        <v>279</v>
      </c>
      <c r="C25" s="1" t="s">
        <v>252</v>
      </c>
    </row>
    <row r="26" spans="1:3">
      <c r="A26" s="1" t="s">
        <v>2</v>
      </c>
      <c r="B26" s="1" t="s">
        <v>280</v>
      </c>
      <c r="C26" s="1" t="s">
        <v>262</v>
      </c>
    </row>
    <row r="27" spans="1:3">
      <c r="A27" s="1" t="s">
        <v>2</v>
      </c>
      <c r="B27" s="1" t="s">
        <v>281</v>
      </c>
      <c r="C27" s="1" t="s">
        <v>258</v>
      </c>
    </row>
    <row r="28" spans="1:3">
      <c r="A28" s="1" t="s">
        <v>2</v>
      </c>
      <c r="B28" s="1" t="s">
        <v>282</v>
      </c>
      <c r="C28" s="1" t="s">
        <v>272</v>
      </c>
    </row>
    <row r="29" spans="1:3">
      <c r="A29" s="1" t="s">
        <v>2</v>
      </c>
      <c r="B29" s="1" t="s">
        <v>283</v>
      </c>
      <c r="C29" s="1" t="s">
        <v>252</v>
      </c>
    </row>
    <row r="30" spans="1:3">
      <c r="A30" s="1" t="s">
        <v>2</v>
      </c>
      <c r="B30" s="1" t="s">
        <v>284</v>
      </c>
      <c r="C30" s="1" t="s">
        <v>262</v>
      </c>
    </row>
    <row r="31" spans="1:3">
      <c r="A31" s="1" t="s">
        <v>2</v>
      </c>
      <c r="B31" s="1" t="s">
        <v>285</v>
      </c>
      <c r="C31" s="1" t="s">
        <v>252</v>
      </c>
    </row>
    <row r="32" spans="1:3">
      <c r="A32" s="1" t="s">
        <v>2</v>
      </c>
      <c r="B32" s="1" t="s">
        <v>286</v>
      </c>
      <c r="C32" s="1" t="s">
        <v>252</v>
      </c>
    </row>
    <row r="33" spans="1:3">
      <c r="A33" s="1" t="s">
        <v>2</v>
      </c>
      <c r="B33" s="1" t="s">
        <v>287</v>
      </c>
      <c r="C33" s="1" t="s">
        <v>252</v>
      </c>
    </row>
    <row r="34" spans="1:3">
      <c r="A34" s="1" t="s">
        <v>2</v>
      </c>
      <c r="B34" s="1" t="s">
        <v>288</v>
      </c>
      <c r="C34" s="1" t="s">
        <v>252</v>
      </c>
    </row>
    <row r="35" spans="1:3">
      <c r="A35" s="1" t="s">
        <v>32</v>
      </c>
      <c r="B35" s="1" t="s">
        <v>289</v>
      </c>
      <c r="C35" s="1" t="s">
        <v>258</v>
      </c>
    </row>
    <row r="36" spans="1:3">
      <c r="A36" s="1" t="s">
        <v>32</v>
      </c>
      <c r="B36" s="1" t="s">
        <v>290</v>
      </c>
      <c r="C36" s="1" t="s">
        <v>262</v>
      </c>
    </row>
    <row r="37" spans="1:3">
      <c r="A37" s="1" t="s">
        <v>32</v>
      </c>
      <c r="B37" s="1" t="s">
        <v>291</v>
      </c>
      <c r="C37" s="1" t="s">
        <v>258</v>
      </c>
    </row>
    <row r="38" spans="1:3">
      <c r="A38" s="1" t="s">
        <v>32</v>
      </c>
      <c r="B38" s="1" t="s">
        <v>292</v>
      </c>
      <c r="C38" s="1" t="s">
        <v>272</v>
      </c>
    </row>
    <row r="39" spans="1:3">
      <c r="A39" s="1" t="s">
        <v>32</v>
      </c>
      <c r="B39" s="1" t="s">
        <v>293</v>
      </c>
      <c r="C39" s="1" t="s">
        <v>262</v>
      </c>
    </row>
    <row r="40" spans="1:3">
      <c r="A40" s="1" t="s">
        <v>32</v>
      </c>
      <c r="B40" s="1" t="s">
        <v>294</v>
      </c>
      <c r="C40" s="1" t="s">
        <v>262</v>
      </c>
    </row>
    <row r="41" spans="1:3">
      <c r="A41" s="1" t="s">
        <v>32</v>
      </c>
      <c r="B41" s="1" t="s">
        <v>295</v>
      </c>
      <c r="C41" s="1" t="s">
        <v>272</v>
      </c>
    </row>
    <row r="42" spans="1:3">
      <c r="A42" s="1" t="s">
        <v>32</v>
      </c>
      <c r="B42" s="1" t="s">
        <v>296</v>
      </c>
      <c r="C42" s="1" t="s">
        <v>254</v>
      </c>
    </row>
    <row r="43" spans="1:3">
      <c r="A43" s="1" t="s">
        <v>32</v>
      </c>
      <c r="B43" s="1" t="s">
        <v>297</v>
      </c>
      <c r="C43" s="1" t="s">
        <v>252</v>
      </c>
    </row>
    <row r="44" spans="1:3">
      <c r="A44" s="1" t="s">
        <v>32</v>
      </c>
      <c r="B44" s="1" t="s">
        <v>298</v>
      </c>
      <c r="C44" s="1" t="s">
        <v>272</v>
      </c>
    </row>
    <row r="45" spans="1:3">
      <c r="A45" s="1" t="s">
        <v>32</v>
      </c>
      <c r="B45" s="1" t="s">
        <v>299</v>
      </c>
      <c r="C45" s="1" t="s">
        <v>254</v>
      </c>
    </row>
    <row r="46" spans="1:3">
      <c r="A46" s="1" t="s">
        <v>32</v>
      </c>
      <c r="B46" s="1" t="s">
        <v>300</v>
      </c>
      <c r="C46" s="1" t="s">
        <v>272</v>
      </c>
    </row>
    <row r="47" spans="1:3">
      <c r="A47" s="1" t="s">
        <v>32</v>
      </c>
      <c r="B47" s="1" t="s">
        <v>301</v>
      </c>
      <c r="C47" s="1" t="s">
        <v>258</v>
      </c>
    </row>
    <row r="48" spans="1:3">
      <c r="A48" s="1" t="s">
        <v>32</v>
      </c>
      <c r="B48" s="1" t="s">
        <v>302</v>
      </c>
      <c r="C48" s="1" t="s">
        <v>254</v>
      </c>
    </row>
    <row r="49" spans="1:3">
      <c r="A49" s="1" t="s">
        <v>32</v>
      </c>
      <c r="B49" s="1" t="s">
        <v>303</v>
      </c>
      <c r="C49" s="1" t="s">
        <v>262</v>
      </c>
    </row>
    <row r="50" spans="1:3">
      <c r="A50" s="1" t="s">
        <v>32</v>
      </c>
      <c r="B50" s="1" t="s">
        <v>304</v>
      </c>
      <c r="C50" s="1" t="s">
        <v>252</v>
      </c>
    </row>
    <row r="51" spans="1:3">
      <c r="A51" s="1" t="s">
        <v>32</v>
      </c>
      <c r="B51" s="1" t="s">
        <v>305</v>
      </c>
      <c r="C51" s="1" t="s">
        <v>254</v>
      </c>
    </row>
    <row r="52" spans="1:3">
      <c r="A52" s="1" t="s">
        <v>32</v>
      </c>
      <c r="B52" s="1" t="s">
        <v>306</v>
      </c>
      <c r="C52" s="1" t="s">
        <v>254</v>
      </c>
    </row>
    <row r="53" spans="1:3">
      <c r="A53" s="1" t="s">
        <v>32</v>
      </c>
      <c r="B53" s="1" t="s">
        <v>307</v>
      </c>
      <c r="C53" s="1" t="s">
        <v>262</v>
      </c>
    </row>
    <row r="54" spans="1:3">
      <c r="A54" s="1" t="s">
        <v>32</v>
      </c>
      <c r="B54" s="1" t="s">
        <v>308</v>
      </c>
      <c r="C54" s="1" t="s">
        <v>252</v>
      </c>
    </row>
    <row r="55" spans="1:3">
      <c r="A55" s="1" t="s">
        <v>32</v>
      </c>
      <c r="B55" s="1" t="s">
        <v>309</v>
      </c>
      <c r="C55" s="1" t="s">
        <v>254</v>
      </c>
    </row>
    <row r="56" spans="1:3">
      <c r="A56" s="1" t="s">
        <v>53</v>
      </c>
      <c r="B56" s="1" t="s">
        <v>310</v>
      </c>
      <c r="C56" s="1" t="s">
        <v>258</v>
      </c>
    </row>
    <row r="57" spans="1:3">
      <c r="A57" s="1" t="s">
        <v>53</v>
      </c>
      <c r="B57" s="1" t="s">
        <v>311</v>
      </c>
      <c r="C57" s="1" t="s">
        <v>262</v>
      </c>
    </row>
    <row r="58" spans="1:3">
      <c r="A58" s="1" t="s">
        <v>53</v>
      </c>
      <c r="B58" s="1" t="s">
        <v>312</v>
      </c>
      <c r="C58" s="1" t="s">
        <v>254</v>
      </c>
    </row>
    <row r="59" spans="1:3">
      <c r="A59" s="1" t="s">
        <v>53</v>
      </c>
      <c r="B59" s="1" t="s">
        <v>313</v>
      </c>
      <c r="C59" s="1" t="s">
        <v>272</v>
      </c>
    </row>
    <row r="60" spans="1:3">
      <c r="A60" s="1" t="s">
        <v>53</v>
      </c>
      <c r="B60" s="1" t="s">
        <v>314</v>
      </c>
      <c r="C60" s="1" t="s">
        <v>262</v>
      </c>
    </row>
    <row r="61" spans="1:3">
      <c r="A61" s="1" t="s">
        <v>53</v>
      </c>
      <c r="B61" s="1" t="s">
        <v>315</v>
      </c>
      <c r="C61" s="1" t="s">
        <v>272</v>
      </c>
    </row>
    <row r="62" spans="1:3">
      <c r="A62" s="1" t="s">
        <v>53</v>
      </c>
      <c r="B62" s="1" t="s">
        <v>316</v>
      </c>
      <c r="C62" s="1" t="s">
        <v>258</v>
      </c>
    </row>
    <row r="63" spans="1:3">
      <c r="A63" s="1" t="s">
        <v>53</v>
      </c>
      <c r="B63" s="1" t="s">
        <v>317</v>
      </c>
      <c r="C63" s="1" t="s">
        <v>262</v>
      </c>
    </row>
    <row r="64" spans="1:3">
      <c r="A64" s="1" t="s">
        <v>53</v>
      </c>
      <c r="B64" s="1" t="s">
        <v>318</v>
      </c>
      <c r="C64" s="1" t="s">
        <v>254</v>
      </c>
    </row>
    <row r="65" spans="1:3">
      <c r="A65" s="1" t="s">
        <v>53</v>
      </c>
      <c r="B65" s="1" t="s">
        <v>319</v>
      </c>
      <c r="C65" s="1" t="s">
        <v>252</v>
      </c>
    </row>
    <row r="66" spans="1:3">
      <c r="A66" s="1" t="s">
        <v>53</v>
      </c>
      <c r="B66" s="1" t="s">
        <v>320</v>
      </c>
      <c r="C66" s="1" t="s">
        <v>258</v>
      </c>
    </row>
    <row r="67" spans="1:3">
      <c r="A67" s="1" t="s">
        <v>53</v>
      </c>
      <c r="B67" s="1" t="s">
        <v>321</v>
      </c>
      <c r="C67" s="1" t="s">
        <v>252</v>
      </c>
    </row>
    <row r="68" spans="1:3">
      <c r="A68" s="1" t="s">
        <v>53</v>
      </c>
      <c r="B68" s="1" t="s">
        <v>322</v>
      </c>
      <c r="C68" s="1" t="s">
        <v>258</v>
      </c>
    </row>
    <row r="69" spans="1:3">
      <c r="A69" s="1" t="s">
        <v>53</v>
      </c>
      <c r="B69" s="1" t="s">
        <v>323</v>
      </c>
      <c r="C69" s="1" t="s">
        <v>262</v>
      </c>
    </row>
    <row r="70" spans="1:3">
      <c r="A70" s="1" t="s">
        <v>53</v>
      </c>
      <c r="B70" s="1" t="s">
        <v>324</v>
      </c>
      <c r="C70" s="1" t="s">
        <v>272</v>
      </c>
    </row>
    <row r="71" spans="1:3">
      <c r="A71" s="1" t="s">
        <v>53</v>
      </c>
      <c r="B71" s="1" t="s">
        <v>325</v>
      </c>
      <c r="C71" s="1" t="s">
        <v>254</v>
      </c>
    </row>
    <row r="72" spans="1:3">
      <c r="A72" s="1" t="s">
        <v>53</v>
      </c>
      <c r="B72" s="1" t="s">
        <v>326</v>
      </c>
      <c r="C72" s="1" t="s">
        <v>254</v>
      </c>
    </row>
    <row r="73" spans="1:3">
      <c r="A73" s="1" t="s">
        <v>53</v>
      </c>
      <c r="B73" s="1" t="s">
        <v>327</v>
      </c>
      <c r="C73" s="1" t="s">
        <v>272</v>
      </c>
    </row>
    <row r="74" spans="1:3">
      <c r="A74" s="1" t="s">
        <v>53</v>
      </c>
      <c r="B74" s="1" t="s">
        <v>328</v>
      </c>
      <c r="C74" s="1" t="s">
        <v>272</v>
      </c>
    </row>
    <row r="75" spans="1:3">
      <c r="A75" s="1" t="s">
        <v>53</v>
      </c>
      <c r="B75" s="1" t="s">
        <v>329</v>
      </c>
      <c r="C75" s="1" t="s">
        <v>252</v>
      </c>
    </row>
    <row r="76" spans="1:3">
      <c r="A76" s="1" t="s">
        <v>53</v>
      </c>
      <c r="B76" s="1" t="s">
        <v>330</v>
      </c>
      <c r="C76" s="1" t="s">
        <v>252</v>
      </c>
    </row>
    <row r="77" spans="1:3">
      <c r="A77" s="1" t="s">
        <v>53</v>
      </c>
      <c r="B77" s="1" t="s">
        <v>331</v>
      </c>
      <c r="C77" s="1" t="s">
        <v>258</v>
      </c>
    </row>
    <row r="78" spans="1:3">
      <c r="A78" s="1" t="s">
        <v>53</v>
      </c>
      <c r="B78" s="1" t="s">
        <v>332</v>
      </c>
      <c r="C78" s="1" t="s">
        <v>254</v>
      </c>
    </row>
    <row r="79" spans="1:3">
      <c r="A79" s="1" t="s">
        <v>53</v>
      </c>
      <c r="B79" s="1" t="s">
        <v>333</v>
      </c>
      <c r="C79" s="1" t="s">
        <v>254</v>
      </c>
    </row>
    <row r="80" spans="1:3">
      <c r="A80" s="1" t="s">
        <v>53</v>
      </c>
      <c r="B80" s="1" t="s">
        <v>334</v>
      </c>
      <c r="C80" s="1" t="s">
        <v>252</v>
      </c>
    </row>
    <row r="81" spans="1:3">
      <c r="A81" s="1" t="s">
        <v>70</v>
      </c>
      <c r="B81" s="1" t="s">
        <v>335</v>
      </c>
      <c r="C81" s="1" t="s">
        <v>258</v>
      </c>
    </row>
    <row r="82" spans="1:3">
      <c r="A82" s="1" t="s">
        <v>70</v>
      </c>
      <c r="B82" s="1" t="s">
        <v>336</v>
      </c>
      <c r="C82" s="1" t="s">
        <v>262</v>
      </c>
    </row>
    <row r="83" spans="1:3">
      <c r="A83" s="1" t="s">
        <v>70</v>
      </c>
      <c r="B83" s="1" t="s">
        <v>337</v>
      </c>
      <c r="C83" s="1" t="s">
        <v>254</v>
      </c>
    </row>
    <row r="84" spans="1:3">
      <c r="A84" s="1" t="s">
        <v>70</v>
      </c>
      <c r="B84" s="1" t="s">
        <v>338</v>
      </c>
      <c r="C84" s="1" t="s">
        <v>252</v>
      </c>
    </row>
    <row r="85" spans="1:3">
      <c r="A85" s="1" t="s">
        <v>70</v>
      </c>
      <c r="B85" s="1" t="s">
        <v>339</v>
      </c>
      <c r="C85" s="1" t="s">
        <v>272</v>
      </c>
    </row>
    <row r="86" spans="1:3">
      <c r="A86" s="1" t="s">
        <v>70</v>
      </c>
      <c r="B86" s="1" t="s">
        <v>340</v>
      </c>
      <c r="C86" s="1" t="s">
        <v>254</v>
      </c>
    </row>
    <row r="87" spans="1:3">
      <c r="A87" s="1" t="s">
        <v>70</v>
      </c>
      <c r="B87" s="1" t="s">
        <v>341</v>
      </c>
      <c r="C87" s="1" t="s">
        <v>258</v>
      </c>
    </row>
    <row r="88" spans="1:3">
      <c r="A88" s="1" t="s">
        <v>70</v>
      </c>
      <c r="B88" s="1" t="s">
        <v>342</v>
      </c>
      <c r="C88" s="1" t="s">
        <v>272</v>
      </c>
    </row>
    <row r="89" spans="1:3">
      <c r="A89" s="1" t="s">
        <v>70</v>
      </c>
      <c r="B89" s="1" t="s">
        <v>343</v>
      </c>
      <c r="C89" s="1" t="s">
        <v>254</v>
      </c>
    </row>
    <row r="90" spans="1:3">
      <c r="A90" s="1" t="s">
        <v>70</v>
      </c>
      <c r="B90" s="1" t="s">
        <v>344</v>
      </c>
      <c r="C90" s="1" t="s">
        <v>252</v>
      </c>
    </row>
    <row r="91" spans="1:3">
      <c r="A91" s="1" t="s">
        <v>70</v>
      </c>
      <c r="B91" s="1" t="s">
        <v>345</v>
      </c>
      <c r="C91" s="1" t="s">
        <v>252</v>
      </c>
    </row>
    <row r="92" spans="1:3">
      <c r="A92" s="1" t="s">
        <v>70</v>
      </c>
      <c r="B92" s="1" t="s">
        <v>346</v>
      </c>
      <c r="C92" s="1" t="s">
        <v>272</v>
      </c>
    </row>
    <row r="93" spans="1:3">
      <c r="A93" s="1" t="s">
        <v>70</v>
      </c>
      <c r="B93" s="1" t="s">
        <v>347</v>
      </c>
      <c r="C93" s="1" t="s">
        <v>262</v>
      </c>
    </row>
    <row r="94" spans="1:3">
      <c r="A94" s="1" t="s">
        <v>70</v>
      </c>
      <c r="B94" s="1" t="s">
        <v>348</v>
      </c>
      <c r="C94" s="1" t="s">
        <v>272</v>
      </c>
    </row>
    <row r="95" spans="1:3">
      <c r="A95" s="1" t="s">
        <v>70</v>
      </c>
      <c r="B95" s="1" t="s">
        <v>349</v>
      </c>
      <c r="C95" s="1" t="s">
        <v>272</v>
      </c>
    </row>
    <row r="96" spans="1:3">
      <c r="A96" s="1" t="s">
        <v>70</v>
      </c>
      <c r="B96" s="1" t="s">
        <v>350</v>
      </c>
      <c r="C96" s="1" t="s">
        <v>262</v>
      </c>
    </row>
    <row r="97" spans="1:3">
      <c r="A97" s="1" t="s">
        <v>70</v>
      </c>
      <c r="B97" s="1" t="s">
        <v>351</v>
      </c>
      <c r="C97" s="1" t="s">
        <v>252</v>
      </c>
    </row>
    <row r="98" spans="1:3">
      <c r="A98" s="1" t="s">
        <v>70</v>
      </c>
      <c r="B98" s="1" t="s">
        <v>352</v>
      </c>
      <c r="C98" s="1" t="s">
        <v>258</v>
      </c>
    </row>
    <row r="99" spans="1:3">
      <c r="A99" s="1" t="s">
        <v>70</v>
      </c>
      <c r="B99" s="1" t="s">
        <v>353</v>
      </c>
      <c r="C99" s="1" t="s">
        <v>252</v>
      </c>
    </row>
    <row r="100" spans="1:3">
      <c r="A100" s="1" t="s">
        <v>70</v>
      </c>
      <c r="B100" s="1" t="s">
        <v>354</v>
      </c>
      <c r="C100" s="1" t="s">
        <v>254</v>
      </c>
    </row>
    <row r="101" spans="1:3">
      <c r="A101" s="1" t="s">
        <v>70</v>
      </c>
      <c r="B101" s="1" t="s">
        <v>355</v>
      </c>
      <c r="C101" s="1" t="s">
        <v>254</v>
      </c>
    </row>
    <row r="102" spans="1:3">
      <c r="A102" s="1" t="s">
        <v>70</v>
      </c>
      <c r="B102" s="1" t="s">
        <v>356</v>
      </c>
      <c r="C102" s="1" t="s">
        <v>254</v>
      </c>
    </row>
    <row r="103" spans="1:3">
      <c r="A103" s="1" t="s">
        <v>70</v>
      </c>
      <c r="B103" s="1" t="s">
        <v>357</v>
      </c>
      <c r="C103" s="1" t="s">
        <v>258</v>
      </c>
    </row>
    <row r="104" spans="1:3">
      <c r="A104" s="1" t="s">
        <v>70</v>
      </c>
      <c r="B104" s="1" t="s">
        <v>358</v>
      </c>
      <c r="C104" s="1" t="s">
        <v>262</v>
      </c>
    </row>
    <row r="105" spans="1:3">
      <c r="A105" s="1" t="s">
        <v>70</v>
      </c>
      <c r="B105" s="1" t="s">
        <v>359</v>
      </c>
      <c r="C105" s="1" t="s">
        <v>258</v>
      </c>
    </row>
    <row r="106" spans="1:3">
      <c r="A106" s="1" t="s">
        <v>70</v>
      </c>
      <c r="B106" s="1" t="s">
        <v>360</v>
      </c>
      <c r="C106" s="1" t="s">
        <v>272</v>
      </c>
    </row>
    <row r="107" spans="1:3">
      <c r="A107" s="1" t="s">
        <v>70</v>
      </c>
      <c r="B107" s="1" t="s">
        <v>361</v>
      </c>
      <c r="C107" s="1" t="s">
        <v>252</v>
      </c>
    </row>
    <row r="108" spans="1:3">
      <c r="A108" s="1" t="s">
        <v>70</v>
      </c>
      <c r="B108" s="1" t="s">
        <v>362</v>
      </c>
      <c r="C108" s="1" t="s">
        <v>252</v>
      </c>
    </row>
    <row r="109" spans="1:3">
      <c r="A109" s="1" t="s">
        <v>70</v>
      </c>
      <c r="B109" s="1" t="s">
        <v>363</v>
      </c>
      <c r="C109" s="1" t="s">
        <v>258</v>
      </c>
    </row>
    <row r="110" spans="1:3">
      <c r="A110" s="1" t="s">
        <v>70</v>
      </c>
      <c r="B110" s="1" t="s">
        <v>364</v>
      </c>
      <c r="C110" s="1" t="s">
        <v>252</v>
      </c>
    </row>
    <row r="111" spans="1:3">
      <c r="A111" s="1" t="s">
        <v>93</v>
      </c>
      <c r="B111" s="1" t="s">
        <v>365</v>
      </c>
      <c r="C111" s="1" t="s">
        <v>258</v>
      </c>
    </row>
    <row r="112" spans="1:3">
      <c r="A112" s="1" t="s">
        <v>93</v>
      </c>
      <c r="B112" s="1" t="s">
        <v>366</v>
      </c>
      <c r="C112" s="1" t="s">
        <v>262</v>
      </c>
    </row>
    <row r="113" spans="1:3">
      <c r="A113" s="1" t="s">
        <v>93</v>
      </c>
      <c r="B113" s="1" t="s">
        <v>367</v>
      </c>
      <c r="C113" s="1" t="s">
        <v>252</v>
      </c>
    </row>
    <row r="114" spans="1:3">
      <c r="A114" s="1" t="s">
        <v>93</v>
      </c>
      <c r="B114" s="1" t="s">
        <v>368</v>
      </c>
      <c r="C114" s="1" t="s">
        <v>254</v>
      </c>
    </row>
    <row r="115" spans="1:3">
      <c r="A115" s="1" t="s">
        <v>93</v>
      </c>
      <c r="B115" s="1" t="s">
        <v>369</v>
      </c>
      <c r="C115" s="1" t="s">
        <v>262</v>
      </c>
    </row>
    <row r="116" spans="1:3">
      <c r="A116" s="1" t="s">
        <v>93</v>
      </c>
      <c r="B116" s="1" t="s">
        <v>370</v>
      </c>
      <c r="C116" s="1" t="s">
        <v>262</v>
      </c>
    </row>
    <row r="117" spans="1:3">
      <c r="A117" s="1" t="s">
        <v>93</v>
      </c>
      <c r="B117" s="1" t="s">
        <v>371</v>
      </c>
      <c r="C117" s="1" t="s">
        <v>258</v>
      </c>
    </row>
    <row r="118" spans="1:3">
      <c r="A118" s="1" t="s">
        <v>93</v>
      </c>
      <c r="B118" s="1" t="s">
        <v>372</v>
      </c>
      <c r="C118" s="1" t="s">
        <v>252</v>
      </c>
    </row>
    <row r="119" spans="1:3">
      <c r="A119" s="1" t="s">
        <v>93</v>
      </c>
      <c r="B119" s="1" t="s">
        <v>373</v>
      </c>
      <c r="C119" s="1" t="s">
        <v>258</v>
      </c>
    </row>
    <row r="120" spans="1:3">
      <c r="A120" s="1" t="s">
        <v>93</v>
      </c>
      <c r="B120" s="1" t="s">
        <v>374</v>
      </c>
      <c r="C120" s="1" t="s">
        <v>272</v>
      </c>
    </row>
    <row r="121" spans="1:3">
      <c r="A121" s="1" t="s">
        <v>93</v>
      </c>
      <c r="B121" s="1" t="s">
        <v>375</v>
      </c>
      <c r="C121" s="1" t="s">
        <v>272</v>
      </c>
    </row>
    <row r="122" spans="1:3">
      <c r="A122" s="1" t="s">
        <v>93</v>
      </c>
      <c r="B122" s="1" t="s">
        <v>376</v>
      </c>
      <c r="C122" s="1" t="s">
        <v>258</v>
      </c>
    </row>
    <row r="123" spans="1:3">
      <c r="A123" s="1" t="s">
        <v>93</v>
      </c>
      <c r="B123" s="1" t="s">
        <v>377</v>
      </c>
      <c r="C123" s="1" t="s">
        <v>262</v>
      </c>
    </row>
    <row r="124" spans="1:3">
      <c r="A124" s="1" t="s">
        <v>93</v>
      </c>
      <c r="B124" s="1" t="s">
        <v>378</v>
      </c>
      <c r="C124" s="1" t="s">
        <v>262</v>
      </c>
    </row>
    <row r="125" spans="1:3">
      <c r="A125" s="1" t="s">
        <v>93</v>
      </c>
      <c r="B125" s="1" t="s">
        <v>379</v>
      </c>
      <c r="C125" s="1" t="s">
        <v>272</v>
      </c>
    </row>
    <row r="126" spans="1:3">
      <c r="A126" s="1" t="s">
        <v>93</v>
      </c>
      <c r="B126" s="1" t="s">
        <v>380</v>
      </c>
      <c r="C126" s="1" t="s">
        <v>258</v>
      </c>
    </row>
    <row r="127" spans="1:3">
      <c r="A127" s="1" t="s">
        <v>93</v>
      </c>
      <c r="B127" s="1" t="s">
        <v>381</v>
      </c>
      <c r="C127" s="1" t="s">
        <v>258</v>
      </c>
    </row>
    <row r="128" spans="1:3">
      <c r="A128" s="1" t="s">
        <v>93</v>
      </c>
      <c r="B128" s="1" t="s">
        <v>382</v>
      </c>
      <c r="C128" s="1" t="s">
        <v>272</v>
      </c>
    </row>
    <row r="129" spans="1:3">
      <c r="A129" s="1" t="s">
        <v>93</v>
      </c>
      <c r="B129" s="1" t="s">
        <v>383</v>
      </c>
      <c r="C129" s="1" t="s">
        <v>258</v>
      </c>
    </row>
    <row r="130" spans="1:3">
      <c r="A130" s="1" t="s">
        <v>93</v>
      </c>
      <c r="B130" s="1" t="s">
        <v>384</v>
      </c>
      <c r="C130" s="1" t="s">
        <v>254</v>
      </c>
    </row>
    <row r="131" spans="1:3">
      <c r="A131" s="1" t="s">
        <v>93</v>
      </c>
      <c r="B131" s="1" t="s">
        <v>385</v>
      </c>
      <c r="C131" s="1" t="s">
        <v>258</v>
      </c>
    </row>
    <row r="132" spans="1:3">
      <c r="A132" s="1" t="s">
        <v>93</v>
      </c>
      <c r="B132" s="1" t="s">
        <v>386</v>
      </c>
      <c r="C132" s="1" t="s">
        <v>272</v>
      </c>
    </row>
    <row r="133" spans="1:3">
      <c r="A133" s="1" t="s">
        <v>93</v>
      </c>
      <c r="B133" s="1" t="s">
        <v>387</v>
      </c>
      <c r="C133" s="1" t="s">
        <v>252</v>
      </c>
    </row>
    <row r="134" spans="1:3">
      <c r="A134" s="1" t="s">
        <v>93</v>
      </c>
      <c r="B134" s="1" t="s">
        <v>388</v>
      </c>
      <c r="C134" s="1" t="s">
        <v>272</v>
      </c>
    </row>
    <row r="135" spans="1:3">
      <c r="A135" s="1" t="s">
        <v>120</v>
      </c>
      <c r="B135" s="1" t="s">
        <v>389</v>
      </c>
      <c r="C135" s="1" t="s">
        <v>258</v>
      </c>
    </row>
    <row r="136" spans="1:3">
      <c r="A136" s="1" t="s">
        <v>120</v>
      </c>
      <c r="B136" s="1" t="s">
        <v>390</v>
      </c>
      <c r="C136" s="1" t="s">
        <v>272</v>
      </c>
    </row>
    <row r="137" spans="1:3">
      <c r="A137" s="1" t="s">
        <v>120</v>
      </c>
      <c r="B137" s="1" t="s">
        <v>391</v>
      </c>
      <c r="C137" s="1" t="s">
        <v>254</v>
      </c>
    </row>
    <row r="138" spans="1:3">
      <c r="A138" s="1" t="s">
        <v>120</v>
      </c>
      <c r="B138" s="1" t="s">
        <v>392</v>
      </c>
      <c r="C138" s="1" t="s">
        <v>258</v>
      </c>
    </row>
    <row r="139" spans="1:3">
      <c r="A139" s="1" t="s">
        <v>120</v>
      </c>
      <c r="B139" s="1" t="s">
        <v>393</v>
      </c>
      <c r="C139" s="1" t="s">
        <v>258</v>
      </c>
    </row>
    <row r="140" spans="1:3">
      <c r="A140" s="1" t="s">
        <v>120</v>
      </c>
      <c r="B140" s="1" t="s">
        <v>394</v>
      </c>
      <c r="C140" s="1" t="s">
        <v>254</v>
      </c>
    </row>
    <row r="141" spans="1:3">
      <c r="A141" s="1" t="s">
        <v>120</v>
      </c>
      <c r="B141" s="1" t="s">
        <v>395</v>
      </c>
      <c r="C141" s="1" t="s">
        <v>272</v>
      </c>
    </row>
    <row r="142" spans="1:3">
      <c r="A142" s="1" t="s">
        <v>120</v>
      </c>
      <c r="B142" s="1" t="s">
        <v>396</v>
      </c>
      <c r="C142" s="1" t="s">
        <v>258</v>
      </c>
    </row>
    <row r="143" spans="1:3">
      <c r="A143" s="1" t="s">
        <v>120</v>
      </c>
      <c r="B143" s="1" t="s">
        <v>397</v>
      </c>
      <c r="C143" s="1" t="s">
        <v>272</v>
      </c>
    </row>
    <row r="144" spans="1:3">
      <c r="A144" s="1" t="s">
        <v>120</v>
      </c>
      <c r="B144" s="1" t="s">
        <v>398</v>
      </c>
      <c r="C144" s="1" t="s">
        <v>252</v>
      </c>
    </row>
    <row r="145" spans="1:3">
      <c r="A145" s="1" t="s">
        <v>120</v>
      </c>
      <c r="B145" s="1" t="s">
        <v>399</v>
      </c>
      <c r="C145" s="1" t="s">
        <v>254</v>
      </c>
    </row>
    <row r="146" spans="1:3">
      <c r="A146" s="1" t="s">
        <v>120</v>
      </c>
      <c r="B146" s="1" t="s">
        <v>400</v>
      </c>
      <c r="C146" s="1" t="s">
        <v>272</v>
      </c>
    </row>
    <row r="147" spans="1:3">
      <c r="A147" s="1" t="s">
        <v>120</v>
      </c>
      <c r="B147" s="1" t="s">
        <v>401</v>
      </c>
      <c r="C147" s="1" t="s">
        <v>252</v>
      </c>
    </row>
    <row r="148" spans="1:3">
      <c r="A148" s="1" t="s">
        <v>120</v>
      </c>
      <c r="B148" s="1" t="s">
        <v>402</v>
      </c>
      <c r="C148" s="1" t="s">
        <v>254</v>
      </c>
    </row>
    <row r="149" spans="1:3">
      <c r="A149" s="1" t="s">
        <v>120</v>
      </c>
      <c r="B149" s="1" t="s">
        <v>403</v>
      </c>
      <c r="C149" s="1" t="s">
        <v>252</v>
      </c>
    </row>
    <row r="150" spans="1:3">
      <c r="A150" s="1" t="s">
        <v>120</v>
      </c>
      <c r="B150" s="1" t="s">
        <v>404</v>
      </c>
      <c r="C150" s="1" t="s">
        <v>262</v>
      </c>
    </row>
    <row r="151" spans="1:3">
      <c r="A151" s="1" t="s">
        <v>120</v>
      </c>
      <c r="B151" s="1" t="s">
        <v>405</v>
      </c>
      <c r="C151" s="1" t="s">
        <v>258</v>
      </c>
    </row>
    <row r="152" spans="1:3">
      <c r="A152" s="1" t="s">
        <v>120</v>
      </c>
      <c r="B152" s="1" t="s">
        <v>406</v>
      </c>
      <c r="C152" s="1" t="s">
        <v>262</v>
      </c>
    </row>
    <row r="153" spans="1:3">
      <c r="A153" s="1" t="s">
        <v>120</v>
      </c>
      <c r="B153" s="1" t="s">
        <v>407</v>
      </c>
      <c r="C153" s="1" t="s">
        <v>272</v>
      </c>
    </row>
    <row r="154" spans="1:3">
      <c r="A154" s="1" t="s">
        <v>120</v>
      </c>
      <c r="B154" s="1" t="s">
        <v>408</v>
      </c>
      <c r="C154" s="1" t="s">
        <v>262</v>
      </c>
    </row>
    <row r="155" spans="1:3">
      <c r="A155" s="1" t="s">
        <v>120</v>
      </c>
      <c r="B155" s="1" t="s">
        <v>409</v>
      </c>
      <c r="C155" s="1" t="s">
        <v>254</v>
      </c>
    </row>
    <row r="156" spans="1:3">
      <c r="A156" s="1" t="s">
        <v>120</v>
      </c>
      <c r="B156" s="1" t="s">
        <v>410</v>
      </c>
      <c r="C156" s="1" t="s">
        <v>272</v>
      </c>
    </row>
    <row r="157" spans="1:3">
      <c r="A157" s="1" t="s">
        <v>120</v>
      </c>
      <c r="B157" s="1" t="s">
        <v>411</v>
      </c>
      <c r="C157" s="1" t="s">
        <v>258</v>
      </c>
    </row>
    <row r="158" spans="1:3">
      <c r="A158" s="1" t="s">
        <v>120</v>
      </c>
      <c r="B158" s="1" t="s">
        <v>412</v>
      </c>
      <c r="C158" s="1" t="s">
        <v>252</v>
      </c>
    </row>
    <row r="159" spans="1:3">
      <c r="A159" s="1" t="s">
        <v>120</v>
      </c>
      <c r="B159" s="1" t="s">
        <v>413</v>
      </c>
      <c r="C159" s="1" t="s">
        <v>258</v>
      </c>
    </row>
    <row r="160" spans="1:3">
      <c r="A160" s="1" t="s">
        <v>120</v>
      </c>
      <c r="B160" s="1" t="s">
        <v>414</v>
      </c>
      <c r="C160" s="1" t="s">
        <v>254</v>
      </c>
    </row>
    <row r="161" spans="1:3">
      <c r="A161" s="1" t="s">
        <v>120</v>
      </c>
      <c r="B161" s="1" t="s">
        <v>415</v>
      </c>
      <c r="C161" s="1" t="s">
        <v>262</v>
      </c>
    </row>
    <row r="162" spans="1:3">
      <c r="A162" s="1" t="s">
        <v>120</v>
      </c>
      <c r="B162" s="1" t="s">
        <v>416</v>
      </c>
      <c r="C162" s="1" t="s">
        <v>252</v>
      </c>
    </row>
    <row r="163" spans="1:3">
      <c r="A163" s="1" t="s">
        <v>120</v>
      </c>
      <c r="B163" s="1" t="s">
        <v>417</v>
      </c>
      <c r="C163" s="1" t="s">
        <v>262</v>
      </c>
    </row>
    <row r="164" spans="1:3">
      <c r="A164" s="1" t="s">
        <v>120</v>
      </c>
      <c r="B164" s="1" t="s">
        <v>418</v>
      </c>
      <c r="C164" s="1" t="s">
        <v>258</v>
      </c>
    </row>
    <row r="165" spans="1:3">
      <c r="A165" s="1" t="s">
        <v>120</v>
      </c>
      <c r="B165" s="1" t="s">
        <v>419</v>
      </c>
      <c r="C165" s="1" t="s">
        <v>254</v>
      </c>
    </row>
    <row r="166" spans="1:3">
      <c r="A166" s="1" t="s">
        <v>141</v>
      </c>
      <c r="B166" s="1" t="s">
        <v>420</v>
      </c>
      <c r="C166" s="1" t="s">
        <v>262</v>
      </c>
    </row>
    <row r="167" spans="1:3">
      <c r="A167" s="1" t="s">
        <v>141</v>
      </c>
      <c r="B167" s="1" t="s">
        <v>421</v>
      </c>
      <c r="C167" s="1" t="s">
        <v>272</v>
      </c>
    </row>
    <row r="168" spans="1:3">
      <c r="A168" s="1" t="s">
        <v>141</v>
      </c>
      <c r="B168" s="1" t="s">
        <v>422</v>
      </c>
      <c r="C168" s="1" t="s">
        <v>272</v>
      </c>
    </row>
    <row r="169" spans="1:3">
      <c r="A169" s="1" t="s">
        <v>141</v>
      </c>
      <c r="B169" s="1" t="s">
        <v>423</v>
      </c>
      <c r="C169" s="1" t="s">
        <v>258</v>
      </c>
    </row>
    <row r="170" spans="1:3">
      <c r="A170" s="1" t="s">
        <v>141</v>
      </c>
      <c r="B170" s="1" t="s">
        <v>424</v>
      </c>
      <c r="C170" s="1" t="s">
        <v>272</v>
      </c>
    </row>
    <row r="171" spans="1:3">
      <c r="A171" s="1" t="s">
        <v>141</v>
      </c>
      <c r="B171" s="1" t="s">
        <v>425</v>
      </c>
      <c r="C171" s="1" t="s">
        <v>254</v>
      </c>
    </row>
    <row r="172" spans="1:3">
      <c r="A172" s="1" t="s">
        <v>141</v>
      </c>
      <c r="B172" s="1" t="s">
        <v>426</v>
      </c>
      <c r="C172" s="1" t="s">
        <v>254</v>
      </c>
    </row>
    <row r="173" spans="1:3">
      <c r="A173" s="1" t="s">
        <v>141</v>
      </c>
      <c r="B173" s="1" t="s">
        <v>427</v>
      </c>
      <c r="C173" s="1" t="s">
        <v>262</v>
      </c>
    </row>
    <row r="174" spans="1:3">
      <c r="A174" s="1" t="s">
        <v>141</v>
      </c>
      <c r="B174" s="1" t="s">
        <v>428</v>
      </c>
      <c r="C174" s="1" t="s">
        <v>254</v>
      </c>
    </row>
    <row r="175" spans="1:3">
      <c r="A175" s="1" t="s">
        <v>141</v>
      </c>
      <c r="B175" s="1" t="s">
        <v>429</v>
      </c>
      <c r="C175" s="1" t="s">
        <v>252</v>
      </c>
    </row>
    <row r="176" spans="1:3">
      <c r="A176" s="1" t="s">
        <v>141</v>
      </c>
      <c r="B176" s="1" t="s">
        <v>430</v>
      </c>
      <c r="C176" s="1" t="s">
        <v>258</v>
      </c>
    </row>
    <row r="177" spans="1:3">
      <c r="A177" s="1" t="s">
        <v>141</v>
      </c>
      <c r="B177" s="1" t="s">
        <v>431</v>
      </c>
      <c r="C177" s="1" t="s">
        <v>272</v>
      </c>
    </row>
    <row r="178" spans="1:3">
      <c r="A178" s="1" t="s">
        <v>141</v>
      </c>
      <c r="B178" s="1" t="s">
        <v>432</v>
      </c>
      <c r="C178" s="1" t="s">
        <v>272</v>
      </c>
    </row>
    <row r="179" spans="1:3">
      <c r="A179" s="1" t="s">
        <v>141</v>
      </c>
      <c r="B179" s="1" t="s">
        <v>433</v>
      </c>
      <c r="C179" s="1" t="s">
        <v>262</v>
      </c>
    </row>
    <row r="180" spans="1:3">
      <c r="A180" s="1" t="s">
        <v>141</v>
      </c>
      <c r="B180" s="1" t="s">
        <v>434</v>
      </c>
      <c r="C180" s="1" t="s">
        <v>258</v>
      </c>
    </row>
    <row r="181" spans="1:3">
      <c r="A181" s="1" t="s">
        <v>141</v>
      </c>
      <c r="B181" s="1" t="s">
        <v>435</v>
      </c>
      <c r="C181" s="1" t="s">
        <v>272</v>
      </c>
    </row>
    <row r="182" spans="1:3">
      <c r="A182" s="1" t="s">
        <v>141</v>
      </c>
      <c r="B182" s="1" t="s">
        <v>436</v>
      </c>
      <c r="C182" s="1" t="s">
        <v>262</v>
      </c>
    </row>
    <row r="183" spans="1:3">
      <c r="A183" s="1" t="s">
        <v>141</v>
      </c>
      <c r="B183" s="1" t="s">
        <v>437</v>
      </c>
      <c r="C183" s="1" t="s">
        <v>272</v>
      </c>
    </row>
    <row r="184" spans="1:3">
      <c r="A184" s="1" t="s">
        <v>141</v>
      </c>
      <c r="B184" s="1" t="s">
        <v>438</v>
      </c>
      <c r="C184" s="1" t="s">
        <v>272</v>
      </c>
    </row>
    <row r="185" spans="1:3">
      <c r="A185" s="1" t="s">
        <v>141</v>
      </c>
      <c r="B185" s="1" t="s">
        <v>439</v>
      </c>
      <c r="C185" s="1" t="s">
        <v>254</v>
      </c>
    </row>
    <row r="186" spans="1:3">
      <c r="A186" s="1" t="s">
        <v>141</v>
      </c>
      <c r="B186" s="1" t="s">
        <v>440</v>
      </c>
      <c r="C186" s="1" t="s">
        <v>258</v>
      </c>
    </row>
    <row r="187" spans="1:3">
      <c r="A187" s="1" t="s">
        <v>141</v>
      </c>
      <c r="B187" s="1" t="s">
        <v>441</v>
      </c>
      <c r="C187" s="1" t="s">
        <v>272</v>
      </c>
    </row>
    <row r="188" spans="1:3">
      <c r="A188" s="1" t="s">
        <v>141</v>
      </c>
      <c r="B188" s="1" t="s">
        <v>442</v>
      </c>
      <c r="C188" s="1" t="s">
        <v>272</v>
      </c>
    </row>
    <row r="189" spans="1:3">
      <c r="A189" s="1" t="s">
        <v>141</v>
      </c>
      <c r="B189" s="1" t="s">
        <v>443</v>
      </c>
      <c r="C189" s="1" t="s">
        <v>252</v>
      </c>
    </row>
    <row r="190" spans="1:3">
      <c r="A190" s="1" t="s">
        <v>141</v>
      </c>
      <c r="B190" s="1" t="s">
        <v>444</v>
      </c>
      <c r="C190" s="1" t="s">
        <v>272</v>
      </c>
    </row>
    <row r="191" spans="1:3">
      <c r="A191" s="1" t="s">
        <v>141</v>
      </c>
      <c r="B191" s="1" t="s">
        <v>445</v>
      </c>
      <c r="C191" s="1" t="s">
        <v>254</v>
      </c>
    </row>
    <row r="192" spans="1:3">
      <c r="A192" s="1" t="s">
        <v>141</v>
      </c>
      <c r="B192" s="1" t="s">
        <v>446</v>
      </c>
      <c r="C192" s="1" t="s">
        <v>262</v>
      </c>
    </row>
    <row r="193" spans="1:3">
      <c r="A193" s="1" t="s">
        <v>141</v>
      </c>
      <c r="B193" s="1" t="s">
        <v>447</v>
      </c>
      <c r="C193" s="1" t="s">
        <v>262</v>
      </c>
    </row>
    <row r="194" spans="1:3">
      <c r="A194" s="1" t="s">
        <v>141</v>
      </c>
      <c r="B194" s="1" t="s">
        <v>448</v>
      </c>
      <c r="C194" s="1" t="s">
        <v>252</v>
      </c>
    </row>
    <row r="195" spans="1:3">
      <c r="A195" s="1" t="s">
        <v>141</v>
      </c>
      <c r="B195" s="1" t="s">
        <v>449</v>
      </c>
      <c r="C195" s="1" t="s">
        <v>252</v>
      </c>
    </row>
    <row r="196" spans="1:3">
      <c r="A196" s="1" t="s">
        <v>141</v>
      </c>
      <c r="B196" s="1" t="s">
        <v>450</v>
      </c>
      <c r="C196" s="1" t="s">
        <v>254</v>
      </c>
    </row>
    <row r="197" spans="1:3">
      <c r="A197" s="1" t="s">
        <v>166</v>
      </c>
      <c r="B197" s="1" t="s">
        <v>451</v>
      </c>
      <c r="C197" s="1" t="s">
        <v>252</v>
      </c>
    </row>
    <row r="198" spans="1:3">
      <c r="A198" s="1" t="s">
        <v>166</v>
      </c>
      <c r="B198" s="1" t="s">
        <v>452</v>
      </c>
      <c r="C198" s="1" t="s">
        <v>262</v>
      </c>
    </row>
    <row r="199" spans="1:3">
      <c r="A199" s="1" t="s">
        <v>166</v>
      </c>
      <c r="B199" s="1" t="s">
        <v>453</v>
      </c>
      <c r="C199" s="1" t="s">
        <v>252</v>
      </c>
    </row>
    <row r="200" spans="1:3">
      <c r="A200" s="1" t="s">
        <v>166</v>
      </c>
      <c r="B200" s="1" t="s">
        <v>454</v>
      </c>
      <c r="C200" s="1" t="s">
        <v>258</v>
      </c>
    </row>
    <row r="201" spans="1:3">
      <c r="A201" s="1" t="s">
        <v>166</v>
      </c>
      <c r="B201" s="1" t="s">
        <v>455</v>
      </c>
      <c r="C201" s="1" t="s">
        <v>262</v>
      </c>
    </row>
    <row r="202" spans="1:3">
      <c r="A202" s="1" t="s">
        <v>166</v>
      </c>
      <c r="B202" s="1" t="s">
        <v>456</v>
      </c>
      <c r="C202" s="1" t="s">
        <v>254</v>
      </c>
    </row>
    <row r="203" spans="1:3">
      <c r="A203" s="1" t="s">
        <v>166</v>
      </c>
      <c r="B203" s="1" t="s">
        <v>457</v>
      </c>
      <c r="C203" s="1" t="s">
        <v>254</v>
      </c>
    </row>
    <row r="204" spans="1:3">
      <c r="A204" s="1" t="s">
        <v>166</v>
      </c>
      <c r="B204" s="1" t="s">
        <v>458</v>
      </c>
      <c r="C204" s="1" t="s">
        <v>262</v>
      </c>
    </row>
    <row r="205" spans="1:3">
      <c r="A205" s="1" t="s">
        <v>166</v>
      </c>
      <c r="B205" s="1" t="s">
        <v>459</v>
      </c>
      <c r="C205" s="1" t="s">
        <v>258</v>
      </c>
    </row>
    <row r="206" spans="1:3">
      <c r="A206" s="1" t="s">
        <v>166</v>
      </c>
      <c r="B206" s="1" t="s">
        <v>460</v>
      </c>
      <c r="C206" s="1" t="s">
        <v>258</v>
      </c>
    </row>
    <row r="207" spans="1:3">
      <c r="A207" s="1" t="s">
        <v>166</v>
      </c>
      <c r="B207" s="1" t="s">
        <v>461</v>
      </c>
      <c r="C207" s="1" t="s">
        <v>262</v>
      </c>
    </row>
    <row r="208" spans="1:3">
      <c r="A208" s="1" t="s">
        <v>166</v>
      </c>
      <c r="B208" s="1" t="s">
        <v>462</v>
      </c>
      <c r="C208" s="1" t="s">
        <v>254</v>
      </c>
    </row>
    <row r="209" spans="1:3">
      <c r="A209" s="1" t="s">
        <v>166</v>
      </c>
      <c r="B209" s="1" t="s">
        <v>463</v>
      </c>
      <c r="C209" s="1" t="s">
        <v>252</v>
      </c>
    </row>
    <row r="210" spans="1:3">
      <c r="A210" s="1" t="s">
        <v>166</v>
      </c>
      <c r="B210" s="1" t="s">
        <v>464</v>
      </c>
      <c r="C210" s="1" t="s">
        <v>254</v>
      </c>
    </row>
    <row r="211" spans="1:3">
      <c r="A211" s="1" t="s">
        <v>166</v>
      </c>
      <c r="B211" s="1" t="s">
        <v>465</v>
      </c>
      <c r="C211" s="1" t="s">
        <v>252</v>
      </c>
    </row>
    <row r="212" spans="1:3">
      <c r="A212" s="1" t="s">
        <v>166</v>
      </c>
      <c r="B212" s="1" t="s">
        <v>466</v>
      </c>
      <c r="C212" s="1" t="s">
        <v>272</v>
      </c>
    </row>
    <row r="213" spans="1:3">
      <c r="A213" s="1" t="s">
        <v>166</v>
      </c>
      <c r="B213" s="1" t="s">
        <v>467</v>
      </c>
      <c r="C213" s="1" t="s">
        <v>252</v>
      </c>
    </row>
    <row r="214" spans="1:3">
      <c r="A214" s="1" t="s">
        <v>166</v>
      </c>
      <c r="B214" s="1" t="s">
        <v>468</v>
      </c>
      <c r="C214" s="1" t="s">
        <v>262</v>
      </c>
    </row>
    <row r="215" spans="1:3">
      <c r="A215" s="1" t="s">
        <v>166</v>
      </c>
      <c r="B215" s="1" t="s">
        <v>469</v>
      </c>
      <c r="C215" s="1" t="s">
        <v>258</v>
      </c>
    </row>
    <row r="216" spans="1:3">
      <c r="A216" s="1" t="s">
        <v>166</v>
      </c>
      <c r="B216" s="1" t="s">
        <v>470</v>
      </c>
      <c r="C216" s="1" t="s">
        <v>254</v>
      </c>
    </row>
    <row r="217" spans="1:3">
      <c r="A217" s="1" t="s">
        <v>166</v>
      </c>
      <c r="B217" s="1" t="s">
        <v>471</v>
      </c>
      <c r="C217" s="1" t="s">
        <v>262</v>
      </c>
    </row>
    <row r="218" spans="1:3">
      <c r="A218" s="1" t="s">
        <v>166</v>
      </c>
      <c r="B218" s="1" t="s">
        <v>472</v>
      </c>
      <c r="C218" s="1" t="s">
        <v>254</v>
      </c>
    </row>
    <row r="219" spans="1:3">
      <c r="A219" s="1" t="s">
        <v>166</v>
      </c>
      <c r="B219" s="1" t="s">
        <v>473</v>
      </c>
      <c r="C219" s="1" t="s">
        <v>272</v>
      </c>
    </row>
    <row r="220" spans="1:3">
      <c r="A220" s="1" t="s">
        <v>166</v>
      </c>
      <c r="B220" s="1" t="s">
        <v>474</v>
      </c>
      <c r="C220" s="1" t="s">
        <v>252</v>
      </c>
    </row>
    <row r="221" spans="1:3">
      <c r="A221" s="1" t="s">
        <v>166</v>
      </c>
      <c r="B221" s="1" t="s">
        <v>475</v>
      </c>
      <c r="C221" s="1" t="s">
        <v>272</v>
      </c>
    </row>
    <row r="222" spans="1:3">
      <c r="A222" s="1" t="s">
        <v>166</v>
      </c>
      <c r="B222" s="1" t="s">
        <v>476</v>
      </c>
      <c r="C222" s="1" t="s">
        <v>252</v>
      </c>
    </row>
    <row r="223" spans="1:3">
      <c r="A223" s="1" t="s">
        <v>166</v>
      </c>
      <c r="B223" s="1" t="s">
        <v>477</v>
      </c>
      <c r="C223" s="1" t="s">
        <v>272</v>
      </c>
    </row>
    <row r="224" spans="1:3">
      <c r="A224" s="1" t="s">
        <v>166</v>
      </c>
      <c r="B224" s="1" t="s">
        <v>478</v>
      </c>
      <c r="C224" s="1" t="s">
        <v>254</v>
      </c>
    </row>
    <row r="225" spans="1:3">
      <c r="A225" s="1" t="s">
        <v>166</v>
      </c>
      <c r="B225" s="1" t="s">
        <v>479</v>
      </c>
      <c r="C225" s="1" t="s">
        <v>254</v>
      </c>
    </row>
    <row r="226" spans="1:3">
      <c r="A226" s="1" t="s">
        <v>197</v>
      </c>
      <c r="B226" s="1" t="s">
        <v>480</v>
      </c>
      <c r="C226" s="1" t="s">
        <v>272</v>
      </c>
    </row>
    <row r="227" spans="1:3">
      <c r="A227" s="1" t="s">
        <v>197</v>
      </c>
      <c r="B227" s="1" t="s">
        <v>481</v>
      </c>
      <c r="C227" s="1" t="s">
        <v>262</v>
      </c>
    </row>
    <row r="228" spans="1:3">
      <c r="A228" s="1" t="s">
        <v>197</v>
      </c>
      <c r="B228" s="1" t="s">
        <v>482</v>
      </c>
      <c r="C228" s="1" t="s">
        <v>254</v>
      </c>
    </row>
    <row r="229" spans="1:3">
      <c r="A229" s="1" t="s">
        <v>197</v>
      </c>
      <c r="B229" s="1" t="s">
        <v>483</v>
      </c>
      <c r="C229" s="1" t="s">
        <v>254</v>
      </c>
    </row>
    <row r="230" spans="1:3">
      <c r="A230" s="1" t="s">
        <v>197</v>
      </c>
      <c r="B230" s="1" t="s">
        <v>484</v>
      </c>
      <c r="C230" s="1" t="s">
        <v>262</v>
      </c>
    </row>
    <row r="231" spans="1:3">
      <c r="A231" s="1" t="s">
        <v>197</v>
      </c>
      <c r="B231" s="1" t="s">
        <v>485</v>
      </c>
      <c r="C231" s="1" t="s">
        <v>258</v>
      </c>
    </row>
    <row r="232" spans="1:3">
      <c r="A232" s="1" t="s">
        <v>197</v>
      </c>
      <c r="B232" s="1" t="s">
        <v>486</v>
      </c>
      <c r="C232" s="1" t="s">
        <v>262</v>
      </c>
    </row>
    <row r="233" spans="1:3">
      <c r="A233" s="1" t="s">
        <v>197</v>
      </c>
      <c r="B233" s="1" t="s">
        <v>487</v>
      </c>
      <c r="C233" s="1" t="s">
        <v>254</v>
      </c>
    </row>
    <row r="234" spans="1:3">
      <c r="A234" s="1" t="s">
        <v>197</v>
      </c>
      <c r="B234" s="1" t="s">
        <v>488</v>
      </c>
      <c r="C234" s="1" t="s">
        <v>258</v>
      </c>
    </row>
    <row r="235" spans="1:3">
      <c r="A235" s="1" t="s">
        <v>197</v>
      </c>
      <c r="B235" s="1" t="s">
        <v>489</v>
      </c>
      <c r="C235" s="1" t="s">
        <v>254</v>
      </c>
    </row>
    <row r="236" spans="1:3">
      <c r="A236" s="1" t="s">
        <v>197</v>
      </c>
      <c r="B236" s="1" t="s">
        <v>490</v>
      </c>
      <c r="C236" s="1" t="s">
        <v>252</v>
      </c>
    </row>
    <row r="237" spans="1:3">
      <c r="A237" s="1" t="s">
        <v>197</v>
      </c>
      <c r="B237" s="1" t="s">
        <v>491</v>
      </c>
      <c r="C237" s="1" t="s">
        <v>254</v>
      </c>
    </row>
    <row r="238" spans="1:3">
      <c r="A238" s="1" t="s">
        <v>197</v>
      </c>
      <c r="B238" s="1" t="s">
        <v>492</v>
      </c>
      <c r="C238" s="1" t="s">
        <v>262</v>
      </c>
    </row>
    <row r="239" spans="1:3">
      <c r="A239" s="1" t="s">
        <v>197</v>
      </c>
      <c r="B239" s="1" t="s">
        <v>493</v>
      </c>
      <c r="C239" s="1" t="s">
        <v>258</v>
      </c>
    </row>
    <row r="240" spans="1:3">
      <c r="A240" s="1" t="s">
        <v>197</v>
      </c>
      <c r="B240" s="1" t="s">
        <v>494</v>
      </c>
      <c r="C240" s="1" t="s">
        <v>272</v>
      </c>
    </row>
    <row r="241" spans="1:3">
      <c r="A241" s="1" t="s">
        <v>197</v>
      </c>
      <c r="B241" s="1" t="s">
        <v>495</v>
      </c>
      <c r="C241" s="1" t="s">
        <v>252</v>
      </c>
    </row>
    <row r="242" spans="1:3">
      <c r="A242" s="1" t="s">
        <v>197</v>
      </c>
      <c r="B242" s="1" t="s">
        <v>496</v>
      </c>
      <c r="C242" s="1" t="s">
        <v>258</v>
      </c>
    </row>
    <row r="243" spans="1:3">
      <c r="A243" s="1" t="s">
        <v>197</v>
      </c>
      <c r="B243" s="1" t="s">
        <v>497</v>
      </c>
      <c r="C243" s="1" t="s">
        <v>262</v>
      </c>
    </row>
    <row r="244" spans="1:3">
      <c r="A244" s="1" t="s">
        <v>197</v>
      </c>
      <c r="B244" s="1" t="s">
        <v>498</v>
      </c>
      <c r="C244" s="1" t="s">
        <v>262</v>
      </c>
    </row>
    <row r="245" spans="1:3">
      <c r="A245" s="1" t="s">
        <v>197</v>
      </c>
      <c r="B245" s="1" t="s">
        <v>499</v>
      </c>
      <c r="C245" s="1" t="s">
        <v>254</v>
      </c>
    </row>
    <row r="246" spans="1:3">
      <c r="A246" s="1" t="s">
        <v>197</v>
      </c>
      <c r="B246" s="1" t="s">
        <v>500</v>
      </c>
      <c r="C246" s="1" t="s">
        <v>258</v>
      </c>
    </row>
    <row r="247" spans="1:3">
      <c r="A247" s="1" t="s">
        <v>197</v>
      </c>
      <c r="B247" s="1" t="s">
        <v>501</v>
      </c>
      <c r="C247" s="1" t="s">
        <v>272</v>
      </c>
    </row>
    <row r="248" spans="1:3">
      <c r="A248" s="1" t="s">
        <v>197</v>
      </c>
      <c r="B248" s="1" t="s">
        <v>502</v>
      </c>
      <c r="C248" s="1" t="s">
        <v>252</v>
      </c>
    </row>
    <row r="249" spans="1:3">
      <c r="A249" s="1" t="s">
        <v>221</v>
      </c>
      <c r="B249" s="1" t="s">
        <v>503</v>
      </c>
      <c r="C249" s="1" t="s">
        <v>272</v>
      </c>
    </row>
    <row r="250" spans="1:3">
      <c r="A250" s="1" t="s">
        <v>221</v>
      </c>
      <c r="B250" s="1" t="s">
        <v>504</v>
      </c>
      <c r="C250" s="1" t="s">
        <v>252</v>
      </c>
    </row>
    <row r="251" spans="1:3">
      <c r="A251" s="1" t="s">
        <v>221</v>
      </c>
      <c r="B251" s="1" t="s">
        <v>505</v>
      </c>
      <c r="C251" s="1" t="s">
        <v>272</v>
      </c>
    </row>
    <row r="252" spans="1:3">
      <c r="A252" s="1" t="s">
        <v>221</v>
      </c>
      <c r="B252" s="1" t="s">
        <v>506</v>
      </c>
      <c r="C252" s="1" t="s">
        <v>252</v>
      </c>
    </row>
    <row r="253" spans="1:3">
      <c r="A253" s="1" t="s">
        <v>221</v>
      </c>
      <c r="B253" s="1" t="s">
        <v>507</v>
      </c>
      <c r="C253" s="1" t="s">
        <v>252</v>
      </c>
    </row>
    <row r="254" spans="1:3">
      <c r="A254" s="1" t="s">
        <v>221</v>
      </c>
      <c r="B254" s="1" t="s">
        <v>508</v>
      </c>
      <c r="C254" s="1" t="s">
        <v>252</v>
      </c>
    </row>
    <row r="255" spans="1:3">
      <c r="A255" s="1" t="s">
        <v>221</v>
      </c>
      <c r="B255" s="1" t="s">
        <v>509</v>
      </c>
      <c r="C255" s="1" t="s">
        <v>252</v>
      </c>
    </row>
    <row r="256" spans="1:3">
      <c r="A256" s="1" t="s">
        <v>221</v>
      </c>
      <c r="B256" s="1" t="s">
        <v>510</v>
      </c>
      <c r="C256" s="1" t="s">
        <v>272</v>
      </c>
    </row>
    <row r="257" spans="1:3">
      <c r="A257" s="1" t="s">
        <v>221</v>
      </c>
      <c r="B257" s="1" t="s">
        <v>511</v>
      </c>
      <c r="C257" s="1" t="s">
        <v>258</v>
      </c>
    </row>
    <row r="258" spans="1:3">
      <c r="A258" s="1" t="s">
        <v>221</v>
      </c>
      <c r="B258" s="1" t="s">
        <v>512</v>
      </c>
      <c r="C258" s="1" t="s">
        <v>258</v>
      </c>
    </row>
    <row r="259" spans="1:3">
      <c r="A259" s="1" t="s">
        <v>221</v>
      </c>
      <c r="B259" s="1" t="s">
        <v>513</v>
      </c>
      <c r="C259" s="1" t="s">
        <v>254</v>
      </c>
    </row>
    <row r="260" spans="1:3">
      <c r="A260" s="1" t="s">
        <v>221</v>
      </c>
      <c r="B260" s="1" t="s">
        <v>514</v>
      </c>
      <c r="C260" s="1" t="s">
        <v>254</v>
      </c>
    </row>
    <row r="261" spans="1:3">
      <c r="A261" s="1" t="s">
        <v>221</v>
      </c>
      <c r="B261" s="1" t="s">
        <v>515</v>
      </c>
      <c r="C261" s="1" t="s">
        <v>252</v>
      </c>
    </row>
    <row r="262" spans="1:3">
      <c r="A262" s="1" t="s">
        <v>221</v>
      </c>
      <c r="B262" s="1" t="s">
        <v>516</v>
      </c>
      <c r="C262" s="1" t="s">
        <v>262</v>
      </c>
    </row>
    <row r="263" spans="1:3">
      <c r="A263" s="1" t="s">
        <v>221</v>
      </c>
      <c r="B263" s="1" t="s">
        <v>517</v>
      </c>
      <c r="C263" s="1" t="s">
        <v>254</v>
      </c>
    </row>
    <row r="264" spans="1:3">
      <c r="A264" s="1" t="s">
        <v>221</v>
      </c>
      <c r="B264" s="1" t="s">
        <v>518</v>
      </c>
      <c r="C264" s="1" t="s">
        <v>258</v>
      </c>
    </row>
    <row r="265" spans="1:3">
      <c r="A265" s="1" t="s">
        <v>221</v>
      </c>
      <c r="B265" s="1" t="s">
        <v>519</v>
      </c>
      <c r="C265" s="1" t="s">
        <v>252</v>
      </c>
    </row>
    <row r="266" spans="1:3">
      <c r="A266" s="1" t="s">
        <v>221</v>
      </c>
      <c r="B266" s="1" t="s">
        <v>520</v>
      </c>
      <c r="C266" s="1" t="s">
        <v>258</v>
      </c>
    </row>
    <row r="267" spans="1:3">
      <c r="A267" s="1" t="s">
        <v>221</v>
      </c>
      <c r="B267" s="1" t="s">
        <v>521</v>
      </c>
      <c r="C267" s="1" t="s">
        <v>272</v>
      </c>
    </row>
    <row r="268" spans="1:3">
      <c r="A268" s="1" t="s">
        <v>221</v>
      </c>
      <c r="B268" s="1" t="s">
        <v>522</v>
      </c>
      <c r="C268" s="1" t="s">
        <v>258</v>
      </c>
    </row>
    <row r="269" spans="1:3">
      <c r="A269" s="1" t="s">
        <v>221</v>
      </c>
      <c r="B269" s="1" t="s">
        <v>523</v>
      </c>
      <c r="C269" s="1" t="s">
        <v>262</v>
      </c>
    </row>
    <row r="270" spans="1:3">
      <c r="A270" s="1" t="s">
        <v>221</v>
      </c>
      <c r="B270" s="1" t="s">
        <v>524</v>
      </c>
      <c r="C270" s="1" t="s">
        <v>272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24FF-EFC6-4DAB-B207-DBB08D709AB8}">
  <sheetPr>
    <pageSetUpPr autoPageBreaks="0"/>
  </sheetPr>
  <dimension ref="A1:L12"/>
  <sheetViews>
    <sheetView showGridLines="0" zoomScaleNormal="100" workbookViewId="0">
      <selection activeCell="D16" sqref="D16"/>
    </sheetView>
  </sheetViews>
  <sheetFormatPr defaultRowHeight="13.8"/>
  <cols>
    <col min="1" max="1" width="10.69921875" bestFit="1" customWidth="1"/>
    <col min="2" max="2" width="12.19921875" bestFit="1" customWidth="1"/>
    <col min="3" max="3" width="15.69921875" bestFit="1" customWidth="1"/>
    <col min="4" max="4" width="18.69921875" bestFit="1" customWidth="1"/>
    <col min="5" max="5" width="17.59765625" bestFit="1" customWidth="1"/>
    <col min="6" max="6" width="19.09765625" bestFit="1" customWidth="1"/>
    <col min="7" max="7" width="16.796875" bestFit="1" customWidth="1"/>
    <col min="8" max="8" width="9.09765625" bestFit="1" customWidth="1"/>
    <col min="9" max="9" width="18.796875" bestFit="1" customWidth="1"/>
    <col min="10" max="10" width="9.59765625" bestFit="1" customWidth="1"/>
    <col min="11" max="11" width="12.59765625" bestFit="1" customWidth="1"/>
    <col min="12" max="12" width="12.796875" bestFit="1" customWidth="1"/>
  </cols>
  <sheetData>
    <row r="1" spans="1:12">
      <c r="A1" s="28" t="s">
        <v>536</v>
      </c>
      <c r="B1" s="28" t="s">
        <v>13</v>
      </c>
      <c r="C1" s="28" t="s">
        <v>8</v>
      </c>
      <c r="D1" s="28" t="s">
        <v>262</v>
      </c>
      <c r="E1" s="28" t="s">
        <v>252</v>
      </c>
      <c r="F1" s="28" t="s">
        <v>258</v>
      </c>
      <c r="G1" s="28" t="s">
        <v>254</v>
      </c>
      <c r="H1" s="28" t="s">
        <v>6</v>
      </c>
      <c r="I1" s="28" t="s">
        <v>4</v>
      </c>
      <c r="J1" s="28" t="s">
        <v>272</v>
      </c>
      <c r="K1" s="28" t="s">
        <v>16</v>
      </c>
      <c r="L1" s="28" t="s">
        <v>526</v>
      </c>
    </row>
    <row r="2" spans="1:12">
      <c r="A2" s="1" t="s">
        <v>141</v>
      </c>
      <c r="B2">
        <v>4</v>
      </c>
      <c r="C2">
        <v>5</v>
      </c>
      <c r="D2">
        <v>6</v>
      </c>
      <c r="E2">
        <v>4</v>
      </c>
      <c r="F2">
        <v>4</v>
      </c>
      <c r="G2">
        <v>6</v>
      </c>
      <c r="H2">
        <v>7</v>
      </c>
      <c r="I2">
        <v>5</v>
      </c>
      <c r="J2">
        <v>11</v>
      </c>
      <c r="K2">
        <v>3</v>
      </c>
      <c r="L2">
        <v>55</v>
      </c>
    </row>
    <row r="3" spans="1:12">
      <c r="A3" s="1" t="s">
        <v>53</v>
      </c>
      <c r="B3">
        <v>5</v>
      </c>
      <c r="C3">
        <v>4</v>
      </c>
      <c r="D3">
        <v>4</v>
      </c>
      <c r="E3">
        <v>5</v>
      </c>
      <c r="F3">
        <v>5</v>
      </c>
      <c r="G3">
        <v>6</v>
      </c>
      <c r="H3">
        <v>4</v>
      </c>
      <c r="I3">
        <v>0</v>
      </c>
      <c r="J3">
        <v>5</v>
      </c>
      <c r="K3">
        <v>3</v>
      </c>
      <c r="L3">
        <v>41</v>
      </c>
    </row>
    <row r="4" spans="1:12">
      <c r="A4" s="1" t="s">
        <v>93</v>
      </c>
      <c r="B4">
        <v>7</v>
      </c>
      <c r="C4">
        <v>3</v>
      </c>
      <c r="D4">
        <v>5</v>
      </c>
      <c r="E4">
        <v>3</v>
      </c>
      <c r="F4">
        <v>8</v>
      </c>
      <c r="G4">
        <v>2</v>
      </c>
      <c r="H4">
        <v>8</v>
      </c>
      <c r="I4">
        <v>3</v>
      </c>
      <c r="J4">
        <v>6</v>
      </c>
      <c r="K4">
        <v>5</v>
      </c>
      <c r="L4">
        <v>50</v>
      </c>
    </row>
    <row r="5" spans="1:12">
      <c r="A5" s="1" t="s">
        <v>32</v>
      </c>
      <c r="B5">
        <v>4</v>
      </c>
      <c r="C5">
        <v>5</v>
      </c>
      <c r="D5">
        <v>5</v>
      </c>
      <c r="E5">
        <v>3</v>
      </c>
      <c r="F5">
        <v>3</v>
      </c>
      <c r="G5">
        <v>6</v>
      </c>
      <c r="H5">
        <v>5</v>
      </c>
      <c r="I5">
        <v>5</v>
      </c>
      <c r="J5">
        <v>4</v>
      </c>
      <c r="K5">
        <v>1</v>
      </c>
      <c r="L5">
        <v>41</v>
      </c>
    </row>
    <row r="6" spans="1:12">
      <c r="A6" s="1" t="s">
        <v>70</v>
      </c>
      <c r="B6">
        <v>6</v>
      </c>
      <c r="C6">
        <v>6</v>
      </c>
      <c r="D6">
        <v>4</v>
      </c>
      <c r="E6">
        <v>8</v>
      </c>
      <c r="F6">
        <v>6</v>
      </c>
      <c r="G6">
        <v>6</v>
      </c>
      <c r="H6">
        <v>3</v>
      </c>
      <c r="I6">
        <v>4</v>
      </c>
      <c r="J6">
        <v>6</v>
      </c>
      <c r="K6">
        <v>3</v>
      </c>
      <c r="L6">
        <v>52</v>
      </c>
    </row>
    <row r="7" spans="1:12">
      <c r="A7" s="1" t="s">
        <v>197</v>
      </c>
      <c r="B7">
        <v>3</v>
      </c>
      <c r="C7">
        <v>6</v>
      </c>
      <c r="D7">
        <v>6</v>
      </c>
      <c r="E7">
        <v>3</v>
      </c>
      <c r="F7">
        <v>5</v>
      </c>
      <c r="G7">
        <v>6</v>
      </c>
      <c r="H7">
        <v>3</v>
      </c>
      <c r="I7">
        <v>9</v>
      </c>
      <c r="J7">
        <v>3</v>
      </c>
      <c r="K7">
        <v>2</v>
      </c>
      <c r="L7">
        <v>46</v>
      </c>
    </row>
    <row r="8" spans="1:12">
      <c r="A8" s="1" t="s">
        <v>120</v>
      </c>
      <c r="B8">
        <v>5</v>
      </c>
      <c r="C8">
        <v>4</v>
      </c>
      <c r="D8">
        <v>5</v>
      </c>
      <c r="E8">
        <v>5</v>
      </c>
      <c r="F8">
        <v>8</v>
      </c>
      <c r="G8">
        <v>7</v>
      </c>
      <c r="H8">
        <v>3</v>
      </c>
      <c r="I8">
        <v>3</v>
      </c>
      <c r="J8">
        <v>6</v>
      </c>
      <c r="K8">
        <v>5</v>
      </c>
      <c r="L8">
        <v>51</v>
      </c>
    </row>
    <row r="9" spans="1:12">
      <c r="A9" s="1" t="s">
        <v>221</v>
      </c>
      <c r="B9">
        <v>6</v>
      </c>
      <c r="C9">
        <v>2</v>
      </c>
      <c r="D9">
        <v>2</v>
      </c>
      <c r="E9">
        <v>7</v>
      </c>
      <c r="F9">
        <v>5</v>
      </c>
      <c r="G9">
        <v>3</v>
      </c>
      <c r="H9">
        <v>5</v>
      </c>
      <c r="I9">
        <v>8</v>
      </c>
      <c r="J9">
        <v>5</v>
      </c>
      <c r="K9">
        <v>8</v>
      </c>
      <c r="L9">
        <v>51</v>
      </c>
    </row>
    <row r="10" spans="1:12">
      <c r="A10" s="1" t="s">
        <v>2</v>
      </c>
      <c r="B10">
        <v>4</v>
      </c>
      <c r="C10">
        <v>8</v>
      </c>
      <c r="D10">
        <v>4</v>
      </c>
      <c r="E10">
        <v>13</v>
      </c>
      <c r="F10">
        <v>10</v>
      </c>
      <c r="G10">
        <v>3</v>
      </c>
      <c r="H10">
        <v>3</v>
      </c>
      <c r="I10">
        <v>6</v>
      </c>
      <c r="J10">
        <v>3</v>
      </c>
      <c r="K10">
        <v>3</v>
      </c>
      <c r="L10">
        <v>57</v>
      </c>
    </row>
    <row r="11" spans="1:12">
      <c r="A11" s="1" t="s">
        <v>166</v>
      </c>
      <c r="B11">
        <v>7</v>
      </c>
      <c r="C11">
        <v>5</v>
      </c>
      <c r="D11">
        <v>6</v>
      </c>
      <c r="E11">
        <v>7</v>
      </c>
      <c r="F11">
        <v>4</v>
      </c>
      <c r="G11">
        <v>8</v>
      </c>
      <c r="H11">
        <v>6</v>
      </c>
      <c r="I11">
        <v>8</v>
      </c>
      <c r="J11">
        <v>4</v>
      </c>
      <c r="K11">
        <v>4</v>
      </c>
      <c r="L11">
        <v>59</v>
      </c>
    </row>
    <row r="12" spans="1:12">
      <c r="A12" s="28" t="s">
        <v>528</v>
      </c>
      <c r="B12" s="28">
        <f>SUBTOTAL(109,Append1[Connected])</f>
        <v>51</v>
      </c>
      <c r="C12" s="28">
        <f>SUBTOTAL(109,Append1[Issue Reported])</f>
        <v>48</v>
      </c>
      <c r="D12" s="28">
        <f>SUBTOTAL(109,Append1[Maintenance Work])</f>
        <v>47</v>
      </c>
      <c r="E12" s="28">
        <f>SUBTOTAL(109,Append1[Network Auditing])</f>
        <v>58</v>
      </c>
      <c r="F12" s="28">
        <f>SUBTOTAL(109,Append1[Network Expansion])</f>
        <v>58</v>
      </c>
      <c r="G12" s="28">
        <f>SUBTOTAL(109,Append1[New Installation])</f>
        <v>53</v>
      </c>
      <c r="H12" s="28">
        <f>SUBTOTAL(109,Append1[Outage])</f>
        <v>47</v>
      </c>
      <c r="I12" s="28">
        <f>SUBTOTAL(109,Append1[Pending Activation])</f>
        <v>51</v>
      </c>
      <c r="J12" s="28">
        <f>SUBTOTAL(109,Append1[Shifting])</f>
        <v>53</v>
      </c>
      <c r="K12" s="28">
        <f>SUBTOTAL(109,Append1[Suspended])</f>
        <v>37</v>
      </c>
      <c r="L12" s="28">
        <f>SUBTOTAL(109,Append1[Grand Total])</f>
        <v>503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5C88-C53E-4AB3-AE5F-8DD2C1A5B292}">
  <dimension ref="A1:C235"/>
  <sheetViews>
    <sheetView workbookViewId="0">
      <selection sqref="A1:C235"/>
    </sheetView>
  </sheetViews>
  <sheetFormatPr defaultRowHeight="13.8"/>
  <cols>
    <col min="1" max="1" width="10.69921875" bestFit="1" customWidth="1"/>
    <col min="2" max="2" width="12.296875" bestFit="1" customWidth="1"/>
    <col min="3" max="3" width="15.796875" bestFit="1" customWidth="1"/>
    <col min="4" max="4" width="15.8984375" bestFit="1" customWidth="1"/>
  </cols>
  <sheetData>
    <row r="1" spans="1:3">
      <c r="A1" t="s">
        <v>0</v>
      </c>
      <c r="B1" t="s">
        <v>1</v>
      </c>
      <c r="C1" t="s">
        <v>525</v>
      </c>
    </row>
    <row r="2" spans="1:3">
      <c r="A2" s="1" t="s">
        <v>2</v>
      </c>
      <c r="B2" s="1" t="s">
        <v>3</v>
      </c>
      <c r="C2" s="1" t="s">
        <v>4</v>
      </c>
    </row>
    <row r="3" spans="1:3">
      <c r="A3" s="1" t="s">
        <v>2</v>
      </c>
      <c r="B3" s="1" t="s">
        <v>5</v>
      </c>
      <c r="C3" s="1" t="s">
        <v>6</v>
      </c>
    </row>
    <row r="4" spans="1:3">
      <c r="A4" s="1" t="s">
        <v>2</v>
      </c>
      <c r="B4" s="1" t="s">
        <v>7</v>
      </c>
      <c r="C4" s="1" t="s">
        <v>8</v>
      </c>
    </row>
    <row r="5" spans="1:3">
      <c r="A5" s="1" t="s">
        <v>2</v>
      </c>
      <c r="B5" s="1" t="s">
        <v>9</v>
      </c>
      <c r="C5" s="1" t="s">
        <v>8</v>
      </c>
    </row>
    <row r="6" spans="1:3">
      <c r="A6" s="1" t="s">
        <v>2</v>
      </c>
      <c r="B6" s="1" t="s">
        <v>10</v>
      </c>
      <c r="C6" s="1" t="s">
        <v>6</v>
      </c>
    </row>
    <row r="7" spans="1:3">
      <c r="A7" s="1" t="s">
        <v>2</v>
      </c>
      <c r="B7" s="1" t="s">
        <v>11</v>
      </c>
      <c r="C7" s="1" t="s">
        <v>6</v>
      </c>
    </row>
    <row r="8" spans="1:3">
      <c r="A8" s="1" t="s">
        <v>2</v>
      </c>
      <c r="B8" s="1" t="s">
        <v>12</v>
      </c>
      <c r="C8" s="1" t="s">
        <v>13</v>
      </c>
    </row>
    <row r="9" spans="1:3">
      <c r="A9" s="1" t="s">
        <v>2</v>
      </c>
      <c r="B9" s="1" t="s">
        <v>14</v>
      </c>
      <c r="C9" s="1" t="s">
        <v>8</v>
      </c>
    </row>
    <row r="10" spans="1:3">
      <c r="A10" s="1" t="s">
        <v>2</v>
      </c>
      <c r="B10" s="1" t="s">
        <v>15</v>
      </c>
      <c r="C10" s="1" t="s">
        <v>16</v>
      </c>
    </row>
    <row r="11" spans="1:3">
      <c r="A11" s="1" t="s">
        <v>2</v>
      </c>
      <c r="B11" s="1" t="s">
        <v>17</v>
      </c>
      <c r="C11" s="1" t="s">
        <v>4</v>
      </c>
    </row>
    <row r="12" spans="1:3">
      <c r="A12" s="1" t="s">
        <v>2</v>
      </c>
      <c r="B12" s="1" t="s">
        <v>18</v>
      </c>
      <c r="C12" s="1" t="s">
        <v>8</v>
      </c>
    </row>
    <row r="13" spans="1:3">
      <c r="A13" s="1" t="s">
        <v>2</v>
      </c>
      <c r="B13" s="1" t="s">
        <v>19</v>
      </c>
      <c r="C13" s="1" t="s">
        <v>8</v>
      </c>
    </row>
    <row r="14" spans="1:3">
      <c r="A14" s="1" t="s">
        <v>2</v>
      </c>
      <c r="B14" s="1" t="s">
        <v>20</v>
      </c>
      <c r="C14" s="1" t="s">
        <v>8</v>
      </c>
    </row>
    <row r="15" spans="1:3">
      <c r="A15" s="1" t="s">
        <v>2</v>
      </c>
      <c r="B15" s="1" t="s">
        <v>21</v>
      </c>
      <c r="C15" s="1" t="s">
        <v>13</v>
      </c>
    </row>
    <row r="16" spans="1:3">
      <c r="A16" s="1" t="s">
        <v>2</v>
      </c>
      <c r="B16" s="1" t="s">
        <v>22</v>
      </c>
      <c r="C16" s="1" t="s">
        <v>13</v>
      </c>
    </row>
    <row r="17" spans="1:3">
      <c r="A17" s="1" t="s">
        <v>2</v>
      </c>
      <c r="B17" s="1" t="s">
        <v>23</v>
      </c>
      <c r="C17" s="1" t="s">
        <v>8</v>
      </c>
    </row>
    <row r="18" spans="1:3">
      <c r="A18" s="1" t="s">
        <v>2</v>
      </c>
      <c r="B18" s="1" t="s">
        <v>24</v>
      </c>
      <c r="C18" s="1" t="s">
        <v>8</v>
      </c>
    </row>
    <row r="19" spans="1:3">
      <c r="A19" s="1" t="s">
        <v>2</v>
      </c>
      <c r="B19" s="1" t="s">
        <v>25</v>
      </c>
      <c r="C19" s="1" t="s">
        <v>13</v>
      </c>
    </row>
    <row r="20" spans="1:3">
      <c r="A20" s="1" t="s">
        <v>2</v>
      </c>
      <c r="B20" s="1" t="s">
        <v>26</v>
      </c>
      <c r="C20" s="1" t="s">
        <v>4</v>
      </c>
    </row>
    <row r="21" spans="1:3">
      <c r="A21" s="1" t="s">
        <v>2</v>
      </c>
      <c r="B21" s="1" t="s">
        <v>27</v>
      </c>
      <c r="C21" s="1" t="s">
        <v>16</v>
      </c>
    </row>
    <row r="22" spans="1:3">
      <c r="A22" s="1" t="s">
        <v>2</v>
      </c>
      <c r="B22" s="1" t="s">
        <v>28</v>
      </c>
      <c r="C22" s="1" t="s">
        <v>16</v>
      </c>
    </row>
    <row r="23" spans="1:3">
      <c r="A23" s="1" t="s">
        <v>2</v>
      </c>
      <c r="B23" s="1" t="s">
        <v>29</v>
      </c>
      <c r="C23" s="1" t="s">
        <v>4</v>
      </c>
    </row>
    <row r="24" spans="1:3">
      <c r="A24" s="1" t="s">
        <v>2</v>
      </c>
      <c r="B24" s="1" t="s">
        <v>30</v>
      </c>
      <c r="C24" s="1" t="s">
        <v>4</v>
      </c>
    </row>
    <row r="25" spans="1:3">
      <c r="A25" s="1" t="s">
        <v>2</v>
      </c>
      <c r="B25" s="1" t="s">
        <v>31</v>
      </c>
      <c r="C25" s="1" t="s">
        <v>4</v>
      </c>
    </row>
    <row r="26" spans="1:3">
      <c r="A26" s="1" t="s">
        <v>32</v>
      </c>
      <c r="B26" s="1" t="s">
        <v>33</v>
      </c>
      <c r="C26" s="1" t="s">
        <v>8</v>
      </c>
    </row>
    <row r="27" spans="1:3">
      <c r="A27" s="1" t="s">
        <v>32</v>
      </c>
      <c r="B27" s="1" t="s">
        <v>34</v>
      </c>
      <c r="C27" s="1" t="s">
        <v>8</v>
      </c>
    </row>
    <row r="28" spans="1:3">
      <c r="A28" s="1" t="s">
        <v>32</v>
      </c>
      <c r="B28" s="1" t="s">
        <v>35</v>
      </c>
      <c r="C28" s="1" t="s">
        <v>8</v>
      </c>
    </row>
    <row r="29" spans="1:3">
      <c r="A29" s="1" t="s">
        <v>32</v>
      </c>
      <c r="B29" s="1" t="s">
        <v>36</v>
      </c>
      <c r="C29" s="1" t="s">
        <v>4</v>
      </c>
    </row>
    <row r="30" spans="1:3">
      <c r="A30" s="1" t="s">
        <v>32</v>
      </c>
      <c r="B30" s="1" t="s">
        <v>37</v>
      </c>
      <c r="C30" s="1" t="s">
        <v>13</v>
      </c>
    </row>
    <row r="31" spans="1:3">
      <c r="A31" s="1" t="s">
        <v>32</v>
      </c>
      <c r="B31" s="1" t="s">
        <v>38</v>
      </c>
      <c r="C31" s="1" t="s">
        <v>4</v>
      </c>
    </row>
    <row r="32" spans="1:3">
      <c r="A32" s="1" t="s">
        <v>32</v>
      </c>
      <c r="B32" s="1" t="s">
        <v>39</v>
      </c>
      <c r="C32" s="1" t="s">
        <v>6</v>
      </c>
    </row>
    <row r="33" spans="1:3">
      <c r="A33" s="1" t="s">
        <v>32</v>
      </c>
      <c r="B33" s="1" t="s">
        <v>40</v>
      </c>
      <c r="C33" s="1" t="s">
        <v>13</v>
      </c>
    </row>
    <row r="34" spans="1:3">
      <c r="A34" s="1" t="s">
        <v>32</v>
      </c>
      <c r="B34" s="1" t="s">
        <v>41</v>
      </c>
      <c r="C34" s="1" t="s">
        <v>16</v>
      </c>
    </row>
    <row r="35" spans="1:3">
      <c r="A35" s="1" t="s">
        <v>32</v>
      </c>
      <c r="B35" s="1" t="s">
        <v>42</v>
      </c>
      <c r="C35" s="1" t="s">
        <v>4</v>
      </c>
    </row>
    <row r="36" spans="1:3">
      <c r="A36" s="1" t="s">
        <v>32</v>
      </c>
      <c r="B36" s="1" t="s">
        <v>43</v>
      </c>
      <c r="C36" s="1" t="s">
        <v>6</v>
      </c>
    </row>
    <row r="37" spans="1:3">
      <c r="A37" s="1" t="s">
        <v>32</v>
      </c>
      <c r="B37" s="1" t="s">
        <v>44</v>
      </c>
      <c r="C37" s="1" t="s">
        <v>13</v>
      </c>
    </row>
    <row r="38" spans="1:3">
      <c r="A38" s="1" t="s">
        <v>32</v>
      </c>
      <c r="B38" s="1" t="s">
        <v>45</v>
      </c>
      <c r="C38" s="1" t="s">
        <v>8</v>
      </c>
    </row>
    <row r="39" spans="1:3">
      <c r="A39" s="1" t="s">
        <v>32</v>
      </c>
      <c r="B39" s="1" t="s">
        <v>46</v>
      </c>
      <c r="C39" s="1" t="s">
        <v>4</v>
      </c>
    </row>
    <row r="40" spans="1:3">
      <c r="A40" s="1" t="s">
        <v>32</v>
      </c>
      <c r="B40" s="1" t="s">
        <v>47</v>
      </c>
      <c r="C40" s="1" t="s">
        <v>8</v>
      </c>
    </row>
    <row r="41" spans="1:3">
      <c r="A41" s="1" t="s">
        <v>32</v>
      </c>
      <c r="B41" s="1" t="s">
        <v>48</v>
      </c>
      <c r="C41" s="1" t="s">
        <v>6</v>
      </c>
    </row>
    <row r="42" spans="1:3">
      <c r="A42" s="1" t="s">
        <v>32</v>
      </c>
      <c r="B42" s="1" t="s">
        <v>49</v>
      </c>
      <c r="C42" s="1" t="s">
        <v>4</v>
      </c>
    </row>
    <row r="43" spans="1:3">
      <c r="A43" s="1" t="s">
        <v>32</v>
      </c>
      <c r="B43" s="1" t="s">
        <v>50</v>
      </c>
      <c r="C43" s="1" t="s">
        <v>6</v>
      </c>
    </row>
    <row r="44" spans="1:3">
      <c r="A44" s="1" t="s">
        <v>32</v>
      </c>
      <c r="B44" s="1" t="s">
        <v>51</v>
      </c>
      <c r="C44" s="1" t="s">
        <v>13</v>
      </c>
    </row>
    <row r="45" spans="1:3">
      <c r="A45" s="1" t="s">
        <v>32</v>
      </c>
      <c r="B45" s="1" t="s">
        <v>52</v>
      </c>
      <c r="C45" s="1" t="s">
        <v>6</v>
      </c>
    </row>
    <row r="46" spans="1:3">
      <c r="A46" s="1" t="s">
        <v>53</v>
      </c>
      <c r="B46" s="1" t="s">
        <v>54</v>
      </c>
      <c r="C46" s="1" t="s">
        <v>6</v>
      </c>
    </row>
    <row r="47" spans="1:3">
      <c r="A47" s="1" t="s">
        <v>53</v>
      </c>
      <c r="B47" s="1" t="s">
        <v>55</v>
      </c>
      <c r="C47" s="1" t="s">
        <v>8</v>
      </c>
    </row>
    <row r="48" spans="1:3">
      <c r="A48" s="1" t="s">
        <v>53</v>
      </c>
      <c r="B48" s="1" t="s">
        <v>56</v>
      </c>
      <c r="C48" s="1" t="s">
        <v>8</v>
      </c>
    </row>
    <row r="49" spans="1:3">
      <c r="A49" s="1" t="s">
        <v>53</v>
      </c>
      <c r="B49" s="1" t="s">
        <v>57</v>
      </c>
      <c r="C49" s="1" t="s">
        <v>6</v>
      </c>
    </row>
    <row r="50" spans="1:3">
      <c r="A50" s="1" t="s">
        <v>53</v>
      </c>
      <c r="B50" s="1" t="s">
        <v>58</v>
      </c>
      <c r="C50" s="1" t="s">
        <v>8</v>
      </c>
    </row>
    <row r="51" spans="1:3">
      <c r="A51" s="1" t="s">
        <v>53</v>
      </c>
      <c r="B51" s="1" t="s">
        <v>59</v>
      </c>
      <c r="C51" s="1" t="s">
        <v>6</v>
      </c>
    </row>
    <row r="52" spans="1:3">
      <c r="A52" s="1" t="s">
        <v>53</v>
      </c>
      <c r="B52" s="1" t="s">
        <v>60</v>
      </c>
      <c r="C52" s="1" t="s">
        <v>13</v>
      </c>
    </row>
    <row r="53" spans="1:3">
      <c r="A53" s="1" t="s">
        <v>53</v>
      </c>
      <c r="B53" s="1" t="s">
        <v>61</v>
      </c>
      <c r="C53" s="1" t="s">
        <v>16</v>
      </c>
    </row>
    <row r="54" spans="1:3">
      <c r="A54" s="1" t="s">
        <v>53</v>
      </c>
      <c r="B54" s="1" t="s">
        <v>62</v>
      </c>
      <c r="C54" s="1" t="s">
        <v>16</v>
      </c>
    </row>
    <row r="55" spans="1:3">
      <c r="A55" s="1" t="s">
        <v>53</v>
      </c>
      <c r="B55" s="1" t="s">
        <v>63</v>
      </c>
      <c r="C55" s="1" t="s">
        <v>13</v>
      </c>
    </row>
    <row r="56" spans="1:3">
      <c r="A56" s="1" t="s">
        <v>53</v>
      </c>
      <c r="B56" s="1" t="s">
        <v>64</v>
      </c>
      <c r="C56" s="1" t="s">
        <v>13</v>
      </c>
    </row>
    <row r="57" spans="1:3">
      <c r="A57" s="1" t="s">
        <v>53</v>
      </c>
      <c r="B57" s="1" t="s">
        <v>65</v>
      </c>
      <c r="C57" s="1" t="s">
        <v>6</v>
      </c>
    </row>
    <row r="58" spans="1:3">
      <c r="A58" s="1" t="s">
        <v>53</v>
      </c>
      <c r="B58" s="1" t="s">
        <v>66</v>
      </c>
      <c r="C58" s="1" t="s">
        <v>8</v>
      </c>
    </row>
    <row r="59" spans="1:3">
      <c r="A59" s="1" t="s">
        <v>53</v>
      </c>
      <c r="B59" s="1" t="s">
        <v>67</v>
      </c>
      <c r="C59" s="1" t="s">
        <v>13</v>
      </c>
    </row>
    <row r="60" spans="1:3">
      <c r="A60" s="1" t="s">
        <v>53</v>
      </c>
      <c r="B60" s="1" t="s">
        <v>68</v>
      </c>
      <c r="C60" s="1" t="s">
        <v>13</v>
      </c>
    </row>
    <row r="61" spans="1:3">
      <c r="A61" s="1" t="s">
        <v>53</v>
      </c>
      <c r="B61" s="1" t="s">
        <v>69</v>
      </c>
      <c r="C61" s="1" t="s">
        <v>16</v>
      </c>
    </row>
    <row r="62" spans="1:3">
      <c r="A62" s="1" t="s">
        <v>70</v>
      </c>
      <c r="B62" s="1" t="s">
        <v>71</v>
      </c>
      <c r="C62" s="1" t="s">
        <v>13</v>
      </c>
    </row>
    <row r="63" spans="1:3">
      <c r="A63" s="1" t="s">
        <v>70</v>
      </c>
      <c r="B63" s="1" t="s">
        <v>72</v>
      </c>
      <c r="C63" s="1" t="s">
        <v>4</v>
      </c>
    </row>
    <row r="64" spans="1:3">
      <c r="A64" s="1" t="s">
        <v>70</v>
      </c>
      <c r="B64" s="1" t="s">
        <v>73</v>
      </c>
      <c r="C64" s="1" t="s">
        <v>13</v>
      </c>
    </row>
    <row r="65" spans="1:3">
      <c r="A65" s="1" t="s">
        <v>70</v>
      </c>
      <c r="B65" s="1" t="s">
        <v>74</v>
      </c>
      <c r="C65" s="1" t="s">
        <v>16</v>
      </c>
    </row>
    <row r="66" spans="1:3">
      <c r="A66" s="1" t="s">
        <v>70</v>
      </c>
      <c r="B66" s="1" t="s">
        <v>75</v>
      </c>
      <c r="C66" s="1" t="s">
        <v>13</v>
      </c>
    </row>
    <row r="67" spans="1:3">
      <c r="A67" s="1" t="s">
        <v>70</v>
      </c>
      <c r="B67" s="1" t="s">
        <v>76</v>
      </c>
      <c r="C67" s="1" t="s">
        <v>4</v>
      </c>
    </row>
    <row r="68" spans="1:3">
      <c r="A68" s="1" t="s">
        <v>70</v>
      </c>
      <c r="B68" s="1" t="s">
        <v>77</v>
      </c>
      <c r="C68" s="1" t="s">
        <v>4</v>
      </c>
    </row>
    <row r="69" spans="1:3">
      <c r="A69" s="1" t="s">
        <v>70</v>
      </c>
      <c r="B69" s="1" t="s">
        <v>78</v>
      </c>
      <c r="C69" s="1" t="s">
        <v>13</v>
      </c>
    </row>
    <row r="70" spans="1:3">
      <c r="A70" s="1" t="s">
        <v>70</v>
      </c>
      <c r="B70" s="1" t="s">
        <v>79</v>
      </c>
      <c r="C70" s="1" t="s">
        <v>8</v>
      </c>
    </row>
    <row r="71" spans="1:3">
      <c r="A71" s="1" t="s">
        <v>70</v>
      </c>
      <c r="B71" s="1" t="s">
        <v>80</v>
      </c>
      <c r="C71" s="1" t="s">
        <v>16</v>
      </c>
    </row>
    <row r="72" spans="1:3">
      <c r="A72" s="1" t="s">
        <v>70</v>
      </c>
      <c r="B72" s="1" t="s">
        <v>81</v>
      </c>
      <c r="C72" s="1" t="s">
        <v>8</v>
      </c>
    </row>
    <row r="73" spans="1:3">
      <c r="A73" s="1" t="s">
        <v>70</v>
      </c>
      <c r="B73" s="1" t="s">
        <v>82</v>
      </c>
      <c r="C73" s="1" t="s">
        <v>8</v>
      </c>
    </row>
    <row r="74" spans="1:3">
      <c r="A74" s="1" t="s">
        <v>70</v>
      </c>
      <c r="B74" s="1" t="s">
        <v>83</v>
      </c>
      <c r="C74" s="1" t="s">
        <v>6</v>
      </c>
    </row>
    <row r="75" spans="1:3">
      <c r="A75" s="1" t="s">
        <v>70</v>
      </c>
      <c r="B75" s="1" t="s">
        <v>84</v>
      </c>
      <c r="C75" s="1" t="s">
        <v>13</v>
      </c>
    </row>
    <row r="76" spans="1:3">
      <c r="A76" s="1" t="s">
        <v>70</v>
      </c>
      <c r="B76" s="1" t="s">
        <v>85</v>
      </c>
      <c r="C76" s="1" t="s">
        <v>8</v>
      </c>
    </row>
    <row r="77" spans="1:3">
      <c r="A77" s="1" t="s">
        <v>70</v>
      </c>
      <c r="B77" s="1" t="s">
        <v>86</v>
      </c>
      <c r="C77" s="1" t="s">
        <v>13</v>
      </c>
    </row>
    <row r="78" spans="1:3">
      <c r="A78" s="1" t="s">
        <v>70</v>
      </c>
      <c r="B78" s="1" t="s">
        <v>87</v>
      </c>
      <c r="C78" s="1" t="s">
        <v>16</v>
      </c>
    </row>
    <row r="79" spans="1:3">
      <c r="A79" s="1" t="s">
        <v>70</v>
      </c>
      <c r="B79" s="1" t="s">
        <v>88</v>
      </c>
      <c r="C79" s="1" t="s">
        <v>4</v>
      </c>
    </row>
    <row r="80" spans="1:3">
      <c r="A80" s="1" t="s">
        <v>70</v>
      </c>
      <c r="B80" s="1" t="s">
        <v>89</v>
      </c>
      <c r="C80" s="1" t="s">
        <v>6</v>
      </c>
    </row>
    <row r="81" spans="1:3">
      <c r="A81" s="1" t="s">
        <v>70</v>
      </c>
      <c r="B81" s="1" t="s">
        <v>90</v>
      </c>
      <c r="C81" s="1" t="s">
        <v>8</v>
      </c>
    </row>
    <row r="82" spans="1:3">
      <c r="A82" s="1" t="s">
        <v>70</v>
      </c>
      <c r="B82" s="1" t="s">
        <v>91</v>
      </c>
      <c r="C82" s="1" t="s">
        <v>8</v>
      </c>
    </row>
    <row r="83" spans="1:3">
      <c r="A83" s="1" t="s">
        <v>70</v>
      </c>
      <c r="B83" s="1" t="s">
        <v>92</v>
      </c>
      <c r="C83" s="1" t="s">
        <v>6</v>
      </c>
    </row>
    <row r="84" spans="1:3">
      <c r="A84" s="1" t="s">
        <v>93</v>
      </c>
      <c r="B84" s="1" t="s">
        <v>94</v>
      </c>
      <c r="C84" s="1" t="s">
        <v>13</v>
      </c>
    </row>
    <row r="85" spans="1:3">
      <c r="A85" s="1" t="s">
        <v>93</v>
      </c>
      <c r="B85" s="1" t="s">
        <v>95</v>
      </c>
      <c r="C85" s="1" t="s">
        <v>16</v>
      </c>
    </row>
    <row r="86" spans="1:3">
      <c r="A86" s="1" t="s">
        <v>93</v>
      </c>
      <c r="B86" s="1" t="s">
        <v>96</v>
      </c>
      <c r="C86" s="1" t="s">
        <v>4</v>
      </c>
    </row>
    <row r="87" spans="1:3">
      <c r="A87" s="1" t="s">
        <v>93</v>
      </c>
      <c r="B87" s="1" t="s">
        <v>97</v>
      </c>
      <c r="C87" s="1" t="s">
        <v>6</v>
      </c>
    </row>
    <row r="88" spans="1:3">
      <c r="A88" s="1" t="s">
        <v>93</v>
      </c>
      <c r="B88" s="1" t="s">
        <v>98</v>
      </c>
      <c r="C88" s="1" t="s">
        <v>13</v>
      </c>
    </row>
    <row r="89" spans="1:3">
      <c r="A89" s="1" t="s">
        <v>93</v>
      </c>
      <c r="B89" s="1" t="s">
        <v>99</v>
      </c>
      <c r="C89" s="1" t="s">
        <v>6</v>
      </c>
    </row>
    <row r="90" spans="1:3">
      <c r="A90" s="1" t="s">
        <v>93</v>
      </c>
      <c r="B90" s="1" t="s">
        <v>100</v>
      </c>
      <c r="C90" s="1" t="s">
        <v>8</v>
      </c>
    </row>
    <row r="91" spans="1:3">
      <c r="A91" s="1" t="s">
        <v>93</v>
      </c>
      <c r="B91" s="1" t="s">
        <v>101</v>
      </c>
      <c r="C91" s="1" t="s">
        <v>6</v>
      </c>
    </row>
    <row r="92" spans="1:3">
      <c r="A92" s="1" t="s">
        <v>93</v>
      </c>
      <c r="B92" s="1" t="s">
        <v>102</v>
      </c>
      <c r="C92" s="1" t="s">
        <v>16</v>
      </c>
    </row>
    <row r="93" spans="1:3">
      <c r="A93" s="1" t="s">
        <v>93</v>
      </c>
      <c r="B93" s="1" t="s">
        <v>103</v>
      </c>
      <c r="C93" s="1" t="s">
        <v>6</v>
      </c>
    </row>
    <row r="94" spans="1:3">
      <c r="A94" s="1" t="s">
        <v>93</v>
      </c>
      <c r="B94" s="1" t="s">
        <v>104</v>
      </c>
      <c r="C94" s="1" t="s">
        <v>13</v>
      </c>
    </row>
    <row r="95" spans="1:3">
      <c r="A95" s="1" t="s">
        <v>93</v>
      </c>
      <c r="B95" s="1" t="s">
        <v>105</v>
      </c>
      <c r="C95" s="1" t="s">
        <v>13</v>
      </c>
    </row>
    <row r="96" spans="1:3">
      <c r="A96" s="1" t="s">
        <v>93</v>
      </c>
      <c r="B96" s="1" t="s">
        <v>106</v>
      </c>
      <c r="C96" s="1" t="s">
        <v>16</v>
      </c>
    </row>
    <row r="97" spans="1:3">
      <c r="A97" s="1" t="s">
        <v>93</v>
      </c>
      <c r="B97" s="1" t="s">
        <v>107</v>
      </c>
      <c r="C97" s="1" t="s">
        <v>8</v>
      </c>
    </row>
    <row r="98" spans="1:3">
      <c r="A98" s="1" t="s">
        <v>93</v>
      </c>
      <c r="B98" s="1" t="s">
        <v>108</v>
      </c>
      <c r="C98" s="1" t="s">
        <v>8</v>
      </c>
    </row>
    <row r="99" spans="1:3">
      <c r="A99" s="1" t="s">
        <v>93</v>
      </c>
      <c r="B99" s="1" t="s">
        <v>109</v>
      </c>
      <c r="C99" s="1" t="s">
        <v>4</v>
      </c>
    </row>
    <row r="100" spans="1:3">
      <c r="A100" s="1" t="s">
        <v>93</v>
      </c>
      <c r="B100" s="1" t="s">
        <v>110</v>
      </c>
      <c r="C100" s="1" t="s">
        <v>4</v>
      </c>
    </row>
    <row r="101" spans="1:3">
      <c r="A101" s="1" t="s">
        <v>93</v>
      </c>
      <c r="B101" s="1" t="s">
        <v>111</v>
      </c>
      <c r="C101" s="1" t="s">
        <v>6</v>
      </c>
    </row>
    <row r="102" spans="1:3">
      <c r="A102" s="1" t="s">
        <v>93</v>
      </c>
      <c r="B102" s="1" t="s">
        <v>112</v>
      </c>
      <c r="C102" s="1" t="s">
        <v>16</v>
      </c>
    </row>
    <row r="103" spans="1:3">
      <c r="A103" s="1" t="s">
        <v>93</v>
      </c>
      <c r="B103" s="1" t="s">
        <v>113</v>
      </c>
      <c r="C103" s="1" t="s">
        <v>13</v>
      </c>
    </row>
    <row r="104" spans="1:3">
      <c r="A104" s="1" t="s">
        <v>93</v>
      </c>
      <c r="B104" s="1" t="s">
        <v>114</v>
      </c>
      <c r="C104" s="1" t="s">
        <v>6</v>
      </c>
    </row>
    <row r="105" spans="1:3">
      <c r="A105" s="1" t="s">
        <v>93</v>
      </c>
      <c r="B105" s="1" t="s">
        <v>115</v>
      </c>
      <c r="C105" s="1" t="s">
        <v>6</v>
      </c>
    </row>
    <row r="106" spans="1:3">
      <c r="A106" s="1" t="s">
        <v>93</v>
      </c>
      <c r="B106" s="1" t="s">
        <v>116</v>
      </c>
      <c r="C106" s="1" t="s">
        <v>16</v>
      </c>
    </row>
    <row r="107" spans="1:3">
      <c r="A107" s="1" t="s">
        <v>93</v>
      </c>
      <c r="B107" s="1" t="s">
        <v>117</v>
      </c>
      <c r="C107" s="1" t="s">
        <v>13</v>
      </c>
    </row>
    <row r="108" spans="1:3">
      <c r="A108" s="1" t="s">
        <v>93</v>
      </c>
      <c r="B108" s="1" t="s">
        <v>118</v>
      </c>
      <c r="C108" s="1" t="s">
        <v>6</v>
      </c>
    </row>
    <row r="109" spans="1:3">
      <c r="A109" s="1" t="s">
        <v>93</v>
      </c>
      <c r="B109" s="1" t="s">
        <v>119</v>
      </c>
      <c r="C109" s="1" t="s">
        <v>13</v>
      </c>
    </row>
    <row r="110" spans="1:3">
      <c r="A110" s="1" t="s">
        <v>120</v>
      </c>
      <c r="B110" s="1" t="s">
        <v>121</v>
      </c>
      <c r="C110" s="1" t="s">
        <v>4</v>
      </c>
    </row>
    <row r="111" spans="1:3">
      <c r="A111" s="1" t="s">
        <v>120</v>
      </c>
      <c r="B111" s="1" t="s">
        <v>122</v>
      </c>
      <c r="C111" s="1" t="s">
        <v>8</v>
      </c>
    </row>
    <row r="112" spans="1:3">
      <c r="A112" s="1" t="s">
        <v>120</v>
      </c>
      <c r="B112" s="1" t="s">
        <v>123</v>
      </c>
      <c r="C112" s="1" t="s">
        <v>13</v>
      </c>
    </row>
    <row r="113" spans="1:3">
      <c r="A113" s="1" t="s">
        <v>120</v>
      </c>
      <c r="B113" s="1" t="s">
        <v>124</v>
      </c>
      <c r="C113" s="1" t="s">
        <v>16</v>
      </c>
    </row>
    <row r="114" spans="1:3">
      <c r="A114" s="1" t="s">
        <v>120</v>
      </c>
      <c r="B114" s="1" t="s">
        <v>125</v>
      </c>
      <c r="C114" s="1" t="s">
        <v>8</v>
      </c>
    </row>
    <row r="115" spans="1:3">
      <c r="A115" s="1" t="s">
        <v>120</v>
      </c>
      <c r="B115" s="1" t="s">
        <v>126</v>
      </c>
      <c r="C115" s="1" t="s">
        <v>13</v>
      </c>
    </row>
    <row r="116" spans="1:3">
      <c r="A116" s="1" t="s">
        <v>120</v>
      </c>
      <c r="B116" s="1" t="s">
        <v>127</v>
      </c>
      <c r="C116" s="1" t="s">
        <v>6</v>
      </c>
    </row>
    <row r="117" spans="1:3">
      <c r="A117" s="1" t="s">
        <v>120</v>
      </c>
      <c r="B117" s="1" t="s">
        <v>128</v>
      </c>
      <c r="C117" s="1" t="s">
        <v>6</v>
      </c>
    </row>
    <row r="118" spans="1:3">
      <c r="A118" s="1" t="s">
        <v>120</v>
      </c>
      <c r="B118" s="1" t="s">
        <v>129</v>
      </c>
      <c r="C118" s="1" t="s">
        <v>16</v>
      </c>
    </row>
    <row r="119" spans="1:3">
      <c r="A119" s="1" t="s">
        <v>120</v>
      </c>
      <c r="B119" s="1" t="s">
        <v>130</v>
      </c>
      <c r="C119" s="1" t="s">
        <v>16</v>
      </c>
    </row>
    <row r="120" spans="1:3">
      <c r="A120" s="1" t="s">
        <v>120</v>
      </c>
      <c r="B120" s="1" t="s">
        <v>131</v>
      </c>
      <c r="C120" s="1" t="s">
        <v>13</v>
      </c>
    </row>
    <row r="121" spans="1:3">
      <c r="A121" s="1" t="s">
        <v>120</v>
      </c>
      <c r="B121" s="1" t="s">
        <v>132</v>
      </c>
      <c r="C121" s="1" t="s">
        <v>4</v>
      </c>
    </row>
    <row r="122" spans="1:3">
      <c r="A122" s="1" t="s">
        <v>120</v>
      </c>
      <c r="B122" s="1" t="s">
        <v>133</v>
      </c>
      <c r="C122" s="1" t="s">
        <v>8</v>
      </c>
    </row>
    <row r="123" spans="1:3">
      <c r="A123" s="1" t="s">
        <v>120</v>
      </c>
      <c r="B123" s="1" t="s">
        <v>134</v>
      </c>
      <c r="C123" s="1" t="s">
        <v>8</v>
      </c>
    </row>
    <row r="124" spans="1:3">
      <c r="A124" s="1" t="s">
        <v>120</v>
      </c>
      <c r="B124" s="1" t="s">
        <v>135</v>
      </c>
      <c r="C124" s="1" t="s">
        <v>13</v>
      </c>
    </row>
    <row r="125" spans="1:3">
      <c r="A125" s="1" t="s">
        <v>120</v>
      </c>
      <c r="B125" s="1" t="s">
        <v>136</v>
      </c>
      <c r="C125" s="1" t="s">
        <v>4</v>
      </c>
    </row>
    <row r="126" spans="1:3">
      <c r="A126" s="1" t="s">
        <v>120</v>
      </c>
      <c r="B126" s="1" t="s">
        <v>137</v>
      </c>
      <c r="C126" s="1" t="s">
        <v>16</v>
      </c>
    </row>
    <row r="127" spans="1:3">
      <c r="A127" s="1" t="s">
        <v>120</v>
      </c>
      <c r="B127" s="1" t="s">
        <v>138</v>
      </c>
      <c r="C127" s="1" t="s">
        <v>6</v>
      </c>
    </row>
    <row r="128" spans="1:3">
      <c r="A128" s="1" t="s">
        <v>120</v>
      </c>
      <c r="B128" s="1" t="s">
        <v>139</v>
      </c>
      <c r="C128" s="1" t="s">
        <v>13</v>
      </c>
    </row>
    <row r="129" spans="1:3">
      <c r="A129" s="1" t="s">
        <v>120</v>
      </c>
      <c r="B129" s="1" t="s">
        <v>140</v>
      </c>
      <c r="C129" s="1" t="s">
        <v>16</v>
      </c>
    </row>
    <row r="130" spans="1:3">
      <c r="A130" s="1" t="s">
        <v>141</v>
      </c>
      <c r="B130" s="1" t="s">
        <v>142</v>
      </c>
      <c r="C130" s="1" t="s">
        <v>6</v>
      </c>
    </row>
    <row r="131" spans="1:3">
      <c r="A131" s="1" t="s">
        <v>141</v>
      </c>
      <c r="B131" s="1" t="s">
        <v>143</v>
      </c>
      <c r="C131" s="1" t="s">
        <v>4</v>
      </c>
    </row>
    <row r="132" spans="1:3">
      <c r="A132" s="1" t="s">
        <v>141</v>
      </c>
      <c r="B132" s="1" t="s">
        <v>144</v>
      </c>
      <c r="C132" s="1" t="s">
        <v>16</v>
      </c>
    </row>
    <row r="133" spans="1:3">
      <c r="A133" s="1" t="s">
        <v>141</v>
      </c>
      <c r="B133" s="1" t="s">
        <v>145</v>
      </c>
      <c r="C133" s="1" t="s">
        <v>6</v>
      </c>
    </row>
    <row r="134" spans="1:3">
      <c r="A134" s="1" t="s">
        <v>141</v>
      </c>
      <c r="B134" s="1" t="s">
        <v>146</v>
      </c>
      <c r="C134" s="1" t="s">
        <v>4</v>
      </c>
    </row>
    <row r="135" spans="1:3">
      <c r="A135" s="1" t="s">
        <v>141</v>
      </c>
      <c r="B135" s="1" t="s">
        <v>147</v>
      </c>
      <c r="C135" s="1" t="s">
        <v>6</v>
      </c>
    </row>
    <row r="136" spans="1:3">
      <c r="A136" s="1" t="s">
        <v>141</v>
      </c>
      <c r="B136" s="1" t="s">
        <v>148</v>
      </c>
      <c r="C136" s="1" t="s">
        <v>4</v>
      </c>
    </row>
    <row r="137" spans="1:3">
      <c r="A137" s="1" t="s">
        <v>141</v>
      </c>
      <c r="B137" s="1" t="s">
        <v>149</v>
      </c>
      <c r="C137" s="1" t="s">
        <v>13</v>
      </c>
    </row>
    <row r="138" spans="1:3">
      <c r="A138" s="1" t="s">
        <v>141</v>
      </c>
      <c r="B138" s="1" t="s">
        <v>150</v>
      </c>
      <c r="C138" s="1" t="s">
        <v>8</v>
      </c>
    </row>
    <row r="139" spans="1:3">
      <c r="A139" s="1" t="s">
        <v>141</v>
      </c>
      <c r="B139" s="1" t="s">
        <v>151</v>
      </c>
      <c r="C139" s="1" t="s">
        <v>4</v>
      </c>
    </row>
    <row r="140" spans="1:3">
      <c r="A140" s="1" t="s">
        <v>141</v>
      </c>
      <c r="B140" s="1" t="s">
        <v>152</v>
      </c>
      <c r="C140" s="1" t="s">
        <v>8</v>
      </c>
    </row>
    <row r="141" spans="1:3">
      <c r="A141" s="1" t="s">
        <v>141</v>
      </c>
      <c r="B141" s="1" t="s">
        <v>153</v>
      </c>
      <c r="C141" s="1" t="s">
        <v>6</v>
      </c>
    </row>
    <row r="142" spans="1:3">
      <c r="A142" s="1" t="s">
        <v>141</v>
      </c>
      <c r="B142" s="1" t="s">
        <v>154</v>
      </c>
      <c r="C142" s="1" t="s">
        <v>6</v>
      </c>
    </row>
    <row r="143" spans="1:3">
      <c r="A143" s="1" t="s">
        <v>141</v>
      </c>
      <c r="B143" s="1" t="s">
        <v>155</v>
      </c>
      <c r="C143" s="1" t="s">
        <v>8</v>
      </c>
    </row>
    <row r="144" spans="1:3">
      <c r="A144" s="1" t="s">
        <v>141</v>
      </c>
      <c r="B144" s="1" t="s">
        <v>156</v>
      </c>
      <c r="C144" s="1" t="s">
        <v>16</v>
      </c>
    </row>
    <row r="145" spans="1:3">
      <c r="A145" s="1" t="s">
        <v>141</v>
      </c>
      <c r="B145" s="1" t="s">
        <v>157</v>
      </c>
      <c r="C145" s="1" t="s">
        <v>6</v>
      </c>
    </row>
    <row r="146" spans="1:3">
      <c r="A146" s="1" t="s">
        <v>141</v>
      </c>
      <c r="B146" s="1" t="s">
        <v>158</v>
      </c>
      <c r="C146" s="1" t="s">
        <v>16</v>
      </c>
    </row>
    <row r="147" spans="1:3">
      <c r="A147" s="1" t="s">
        <v>141</v>
      </c>
      <c r="B147" s="1" t="s">
        <v>159</v>
      </c>
      <c r="C147" s="1" t="s">
        <v>13</v>
      </c>
    </row>
    <row r="148" spans="1:3">
      <c r="A148" s="1" t="s">
        <v>141</v>
      </c>
      <c r="B148" s="1" t="s">
        <v>160</v>
      </c>
      <c r="C148" s="1" t="s">
        <v>4</v>
      </c>
    </row>
    <row r="149" spans="1:3">
      <c r="A149" s="1" t="s">
        <v>141</v>
      </c>
      <c r="B149" s="1" t="s">
        <v>161</v>
      </c>
      <c r="C149" s="1" t="s">
        <v>6</v>
      </c>
    </row>
    <row r="150" spans="1:3">
      <c r="A150" s="1" t="s">
        <v>141</v>
      </c>
      <c r="B150" s="1" t="s">
        <v>162</v>
      </c>
      <c r="C150" s="1" t="s">
        <v>13</v>
      </c>
    </row>
    <row r="151" spans="1:3">
      <c r="A151" s="1" t="s">
        <v>141</v>
      </c>
      <c r="B151" s="1" t="s">
        <v>163</v>
      </c>
      <c r="C151" s="1" t="s">
        <v>13</v>
      </c>
    </row>
    <row r="152" spans="1:3">
      <c r="A152" s="1" t="s">
        <v>141</v>
      </c>
      <c r="B152" s="1" t="s">
        <v>164</v>
      </c>
      <c r="C152" s="1" t="s">
        <v>8</v>
      </c>
    </row>
    <row r="153" spans="1:3">
      <c r="A153" s="1" t="s">
        <v>141</v>
      </c>
      <c r="B153" s="1" t="s">
        <v>165</v>
      </c>
      <c r="C153" s="1" t="s">
        <v>8</v>
      </c>
    </row>
    <row r="154" spans="1:3">
      <c r="A154" s="1" t="s">
        <v>166</v>
      </c>
      <c r="B154" s="1" t="s">
        <v>167</v>
      </c>
      <c r="C154" s="1" t="s">
        <v>16</v>
      </c>
    </row>
    <row r="155" spans="1:3">
      <c r="A155" s="1" t="s">
        <v>166</v>
      </c>
      <c r="B155" s="1" t="s">
        <v>168</v>
      </c>
      <c r="C155" s="1" t="s">
        <v>4</v>
      </c>
    </row>
    <row r="156" spans="1:3">
      <c r="A156" s="1" t="s">
        <v>166</v>
      </c>
      <c r="B156" s="1" t="s">
        <v>169</v>
      </c>
      <c r="C156" s="1" t="s">
        <v>4</v>
      </c>
    </row>
    <row r="157" spans="1:3">
      <c r="A157" s="1" t="s">
        <v>166</v>
      </c>
      <c r="B157" s="1" t="s">
        <v>170</v>
      </c>
      <c r="C157" s="1" t="s">
        <v>13</v>
      </c>
    </row>
    <row r="158" spans="1:3">
      <c r="A158" s="1" t="s">
        <v>166</v>
      </c>
      <c r="B158" s="1" t="s">
        <v>171</v>
      </c>
      <c r="C158" s="1" t="s">
        <v>13</v>
      </c>
    </row>
    <row r="159" spans="1:3">
      <c r="A159" s="1" t="s">
        <v>166</v>
      </c>
      <c r="B159" s="1" t="s">
        <v>172</v>
      </c>
      <c r="C159" s="1" t="s">
        <v>8</v>
      </c>
    </row>
    <row r="160" spans="1:3">
      <c r="A160" s="1" t="s">
        <v>166</v>
      </c>
      <c r="B160" s="1" t="s">
        <v>173</v>
      </c>
      <c r="C160" s="1" t="s">
        <v>13</v>
      </c>
    </row>
    <row r="161" spans="1:3">
      <c r="A161" s="1" t="s">
        <v>166</v>
      </c>
      <c r="B161" s="1" t="s">
        <v>174</v>
      </c>
      <c r="C161" s="1" t="s">
        <v>4</v>
      </c>
    </row>
    <row r="162" spans="1:3">
      <c r="A162" s="1" t="s">
        <v>166</v>
      </c>
      <c r="B162" s="1" t="s">
        <v>175</v>
      </c>
      <c r="C162" s="1" t="s">
        <v>6</v>
      </c>
    </row>
    <row r="163" spans="1:3">
      <c r="A163" s="1" t="s">
        <v>166</v>
      </c>
      <c r="B163" s="1" t="s">
        <v>176</v>
      </c>
      <c r="C163" s="1" t="s">
        <v>4</v>
      </c>
    </row>
    <row r="164" spans="1:3">
      <c r="A164" s="1" t="s">
        <v>166</v>
      </c>
      <c r="B164" s="1" t="s">
        <v>177</v>
      </c>
      <c r="C164" s="1" t="s">
        <v>6</v>
      </c>
    </row>
    <row r="165" spans="1:3">
      <c r="A165" s="1" t="s">
        <v>166</v>
      </c>
      <c r="B165" s="1" t="s">
        <v>178</v>
      </c>
      <c r="C165" s="1" t="s">
        <v>16</v>
      </c>
    </row>
    <row r="166" spans="1:3">
      <c r="A166" s="1" t="s">
        <v>166</v>
      </c>
      <c r="B166" s="1" t="s">
        <v>179</v>
      </c>
      <c r="C166" s="1" t="s">
        <v>16</v>
      </c>
    </row>
    <row r="167" spans="1:3">
      <c r="A167" s="1" t="s">
        <v>166</v>
      </c>
      <c r="B167" s="1" t="s">
        <v>180</v>
      </c>
      <c r="C167" s="1" t="s">
        <v>13</v>
      </c>
    </row>
    <row r="168" spans="1:3">
      <c r="A168" s="1" t="s">
        <v>166</v>
      </c>
      <c r="B168" s="1" t="s">
        <v>181</v>
      </c>
      <c r="C168" s="1" t="s">
        <v>8</v>
      </c>
    </row>
    <row r="169" spans="1:3">
      <c r="A169" s="1" t="s">
        <v>166</v>
      </c>
      <c r="B169" s="1" t="s">
        <v>182</v>
      </c>
      <c r="C169" s="1" t="s">
        <v>8</v>
      </c>
    </row>
    <row r="170" spans="1:3">
      <c r="A170" s="1" t="s">
        <v>166</v>
      </c>
      <c r="B170" s="1" t="s">
        <v>183</v>
      </c>
      <c r="C170" s="1" t="s">
        <v>13</v>
      </c>
    </row>
    <row r="171" spans="1:3">
      <c r="A171" s="1" t="s">
        <v>166</v>
      </c>
      <c r="B171" s="1" t="s">
        <v>184</v>
      </c>
      <c r="C171" s="1" t="s">
        <v>8</v>
      </c>
    </row>
    <row r="172" spans="1:3">
      <c r="A172" s="1" t="s">
        <v>166</v>
      </c>
      <c r="B172" s="1" t="s">
        <v>185</v>
      </c>
      <c r="C172" s="1" t="s">
        <v>4</v>
      </c>
    </row>
    <row r="173" spans="1:3">
      <c r="A173" s="1" t="s">
        <v>166</v>
      </c>
      <c r="B173" s="1" t="s">
        <v>186</v>
      </c>
      <c r="C173" s="1" t="s">
        <v>4</v>
      </c>
    </row>
    <row r="174" spans="1:3">
      <c r="A174" s="1" t="s">
        <v>166</v>
      </c>
      <c r="B174" s="1" t="s">
        <v>187</v>
      </c>
      <c r="C174" s="1" t="s">
        <v>16</v>
      </c>
    </row>
    <row r="175" spans="1:3">
      <c r="A175" s="1" t="s">
        <v>166</v>
      </c>
      <c r="B175" s="1" t="s">
        <v>188</v>
      </c>
      <c r="C175" s="1" t="s">
        <v>6</v>
      </c>
    </row>
    <row r="176" spans="1:3">
      <c r="A176" s="1" t="s">
        <v>166</v>
      </c>
      <c r="B176" s="1" t="s">
        <v>189</v>
      </c>
      <c r="C176" s="1" t="s">
        <v>6</v>
      </c>
    </row>
    <row r="177" spans="1:3">
      <c r="A177" s="1" t="s">
        <v>166</v>
      </c>
      <c r="B177" s="1" t="s">
        <v>190</v>
      </c>
      <c r="C177" s="1" t="s">
        <v>13</v>
      </c>
    </row>
    <row r="178" spans="1:3">
      <c r="A178" s="1" t="s">
        <v>166</v>
      </c>
      <c r="B178" s="1" t="s">
        <v>191</v>
      </c>
      <c r="C178" s="1" t="s">
        <v>6</v>
      </c>
    </row>
    <row r="179" spans="1:3">
      <c r="A179" s="1" t="s">
        <v>166</v>
      </c>
      <c r="B179" s="1" t="s">
        <v>192</v>
      </c>
      <c r="C179" s="1" t="s">
        <v>8</v>
      </c>
    </row>
    <row r="180" spans="1:3">
      <c r="A180" s="1" t="s">
        <v>166</v>
      </c>
      <c r="B180" s="1" t="s">
        <v>193</v>
      </c>
      <c r="C180" s="1" t="s">
        <v>4</v>
      </c>
    </row>
    <row r="181" spans="1:3">
      <c r="A181" s="1" t="s">
        <v>166</v>
      </c>
      <c r="B181" s="1" t="s">
        <v>194</v>
      </c>
      <c r="C181" s="1" t="s">
        <v>6</v>
      </c>
    </row>
    <row r="182" spans="1:3">
      <c r="A182" s="1" t="s">
        <v>166</v>
      </c>
      <c r="B182" s="1" t="s">
        <v>195</v>
      </c>
      <c r="C182" s="1" t="s">
        <v>4</v>
      </c>
    </row>
    <row r="183" spans="1:3">
      <c r="A183" s="1" t="s">
        <v>166</v>
      </c>
      <c r="B183" s="1" t="s">
        <v>196</v>
      </c>
      <c r="C183" s="1" t="s">
        <v>13</v>
      </c>
    </row>
    <row r="184" spans="1:3">
      <c r="A184" s="1" t="s">
        <v>197</v>
      </c>
      <c r="B184" s="1" t="s">
        <v>198</v>
      </c>
      <c r="C184" s="1" t="s">
        <v>6</v>
      </c>
    </row>
    <row r="185" spans="1:3">
      <c r="A185" s="1" t="s">
        <v>197</v>
      </c>
      <c r="B185" s="1" t="s">
        <v>199</v>
      </c>
      <c r="C185" s="1" t="s">
        <v>6</v>
      </c>
    </row>
    <row r="186" spans="1:3">
      <c r="A186" s="1" t="s">
        <v>197</v>
      </c>
      <c r="B186" s="1" t="s">
        <v>200</v>
      </c>
      <c r="C186" s="1" t="s">
        <v>4</v>
      </c>
    </row>
    <row r="187" spans="1:3">
      <c r="A187" s="1" t="s">
        <v>197</v>
      </c>
      <c r="B187" s="1" t="s">
        <v>201</v>
      </c>
      <c r="C187" s="1" t="s">
        <v>4</v>
      </c>
    </row>
    <row r="188" spans="1:3">
      <c r="A188" s="1" t="s">
        <v>197</v>
      </c>
      <c r="B188" s="1" t="s">
        <v>202</v>
      </c>
      <c r="C188" s="1" t="s">
        <v>8</v>
      </c>
    </row>
    <row r="189" spans="1:3">
      <c r="A189" s="1" t="s">
        <v>197</v>
      </c>
      <c r="B189" s="1" t="s">
        <v>203</v>
      </c>
      <c r="C189" s="1" t="s">
        <v>4</v>
      </c>
    </row>
    <row r="190" spans="1:3">
      <c r="A190" s="1" t="s">
        <v>197</v>
      </c>
      <c r="B190" s="1" t="s">
        <v>204</v>
      </c>
      <c r="C190" s="1" t="s">
        <v>4</v>
      </c>
    </row>
    <row r="191" spans="1:3">
      <c r="A191" s="1" t="s">
        <v>197</v>
      </c>
      <c r="B191" s="1" t="s">
        <v>205</v>
      </c>
      <c r="C191" s="1" t="s">
        <v>4</v>
      </c>
    </row>
    <row r="192" spans="1:3">
      <c r="A192" s="1" t="s">
        <v>197</v>
      </c>
      <c r="B192" s="1" t="s">
        <v>206</v>
      </c>
      <c r="C192" s="1" t="s">
        <v>16</v>
      </c>
    </row>
    <row r="193" spans="1:3">
      <c r="A193" s="1" t="s">
        <v>197</v>
      </c>
      <c r="B193" s="1" t="s">
        <v>207</v>
      </c>
      <c r="C193" s="1" t="s">
        <v>4</v>
      </c>
    </row>
    <row r="194" spans="1:3">
      <c r="A194" s="1" t="s">
        <v>197</v>
      </c>
      <c r="B194" s="1" t="s">
        <v>208</v>
      </c>
      <c r="C194" s="1" t="s">
        <v>13</v>
      </c>
    </row>
    <row r="195" spans="1:3">
      <c r="A195" s="1" t="s">
        <v>197</v>
      </c>
      <c r="B195" s="1" t="s">
        <v>209</v>
      </c>
      <c r="C195" s="1" t="s">
        <v>8</v>
      </c>
    </row>
    <row r="196" spans="1:3">
      <c r="A196" s="1" t="s">
        <v>197</v>
      </c>
      <c r="B196" s="1" t="s">
        <v>210</v>
      </c>
      <c r="C196" s="1" t="s">
        <v>16</v>
      </c>
    </row>
    <row r="197" spans="1:3">
      <c r="A197" s="1" t="s">
        <v>197</v>
      </c>
      <c r="B197" s="1" t="s">
        <v>211</v>
      </c>
      <c r="C197" s="1" t="s">
        <v>8</v>
      </c>
    </row>
    <row r="198" spans="1:3">
      <c r="A198" s="1" t="s">
        <v>197</v>
      </c>
      <c r="B198" s="1" t="s">
        <v>212</v>
      </c>
      <c r="C198" s="1" t="s">
        <v>4</v>
      </c>
    </row>
    <row r="199" spans="1:3">
      <c r="A199" s="1" t="s">
        <v>197</v>
      </c>
      <c r="B199" s="1" t="s">
        <v>213</v>
      </c>
      <c r="C199" s="1" t="s">
        <v>4</v>
      </c>
    </row>
    <row r="200" spans="1:3">
      <c r="A200" s="1" t="s">
        <v>197</v>
      </c>
      <c r="B200" s="1" t="s">
        <v>214</v>
      </c>
      <c r="C200" s="1" t="s">
        <v>8</v>
      </c>
    </row>
    <row r="201" spans="1:3">
      <c r="A201" s="1" t="s">
        <v>197</v>
      </c>
      <c r="B201" s="1" t="s">
        <v>215</v>
      </c>
      <c r="C201" s="1" t="s">
        <v>13</v>
      </c>
    </row>
    <row r="202" spans="1:3">
      <c r="A202" s="1" t="s">
        <v>197</v>
      </c>
      <c r="B202" s="1" t="s">
        <v>216</v>
      </c>
      <c r="C202" s="1" t="s">
        <v>8</v>
      </c>
    </row>
    <row r="203" spans="1:3">
      <c r="A203" s="1" t="s">
        <v>197</v>
      </c>
      <c r="B203" s="1" t="s">
        <v>217</v>
      </c>
      <c r="C203" s="1" t="s">
        <v>8</v>
      </c>
    </row>
    <row r="204" spans="1:3">
      <c r="A204" s="1" t="s">
        <v>197</v>
      </c>
      <c r="B204" s="1" t="s">
        <v>218</v>
      </c>
      <c r="C204" s="1" t="s">
        <v>4</v>
      </c>
    </row>
    <row r="205" spans="1:3">
      <c r="A205" s="1" t="s">
        <v>197</v>
      </c>
      <c r="B205" s="1" t="s">
        <v>219</v>
      </c>
      <c r="C205" s="1" t="s">
        <v>13</v>
      </c>
    </row>
    <row r="206" spans="1:3">
      <c r="A206" s="1" t="s">
        <v>197</v>
      </c>
      <c r="B206" s="1" t="s">
        <v>220</v>
      </c>
      <c r="C206" s="1" t="s">
        <v>6</v>
      </c>
    </row>
    <row r="207" spans="1:3">
      <c r="A207" s="1" t="s">
        <v>221</v>
      </c>
      <c r="B207" s="1" t="s">
        <v>222</v>
      </c>
      <c r="C207" s="1" t="s">
        <v>4</v>
      </c>
    </row>
    <row r="208" spans="1:3">
      <c r="A208" s="1" t="s">
        <v>221</v>
      </c>
      <c r="B208" s="1" t="s">
        <v>223</v>
      </c>
      <c r="C208" s="1" t="s">
        <v>13</v>
      </c>
    </row>
    <row r="209" spans="1:3">
      <c r="A209" s="1" t="s">
        <v>221</v>
      </c>
      <c r="B209" s="1" t="s">
        <v>224</v>
      </c>
      <c r="C209" s="1" t="s">
        <v>4</v>
      </c>
    </row>
    <row r="210" spans="1:3">
      <c r="A210" s="1" t="s">
        <v>221</v>
      </c>
      <c r="B210" s="1" t="s">
        <v>225</v>
      </c>
      <c r="C210" s="1" t="s">
        <v>6</v>
      </c>
    </row>
    <row r="211" spans="1:3">
      <c r="A211" s="1" t="s">
        <v>221</v>
      </c>
      <c r="B211" s="1" t="s">
        <v>226</v>
      </c>
      <c r="C211" s="1" t="s">
        <v>16</v>
      </c>
    </row>
    <row r="212" spans="1:3">
      <c r="A212" s="1" t="s">
        <v>221</v>
      </c>
      <c r="B212" s="1" t="s">
        <v>227</v>
      </c>
      <c r="C212" s="1" t="s">
        <v>13</v>
      </c>
    </row>
    <row r="213" spans="1:3">
      <c r="A213" s="1" t="s">
        <v>221</v>
      </c>
      <c r="B213" s="1" t="s">
        <v>228</v>
      </c>
      <c r="C213" s="1" t="s">
        <v>13</v>
      </c>
    </row>
    <row r="214" spans="1:3">
      <c r="A214" s="1" t="s">
        <v>221</v>
      </c>
      <c r="B214" s="1" t="s">
        <v>229</v>
      </c>
      <c r="C214" s="1" t="s">
        <v>6</v>
      </c>
    </row>
    <row r="215" spans="1:3">
      <c r="A215" s="1" t="s">
        <v>221</v>
      </c>
      <c r="B215" s="1" t="s">
        <v>230</v>
      </c>
      <c r="C215" s="1" t="s">
        <v>4</v>
      </c>
    </row>
    <row r="216" spans="1:3">
      <c r="A216" s="1" t="s">
        <v>221</v>
      </c>
      <c r="B216" s="1" t="s">
        <v>231</v>
      </c>
      <c r="C216" s="1" t="s">
        <v>16</v>
      </c>
    </row>
    <row r="217" spans="1:3">
      <c r="A217" s="1" t="s">
        <v>221</v>
      </c>
      <c r="B217" s="1" t="s">
        <v>232</v>
      </c>
      <c r="C217" s="1" t="s">
        <v>8</v>
      </c>
    </row>
    <row r="218" spans="1:3">
      <c r="A218" s="1" t="s">
        <v>221</v>
      </c>
      <c r="B218" s="1" t="s">
        <v>233</v>
      </c>
      <c r="C218" s="1" t="s">
        <v>16</v>
      </c>
    </row>
    <row r="219" spans="1:3">
      <c r="A219" s="1" t="s">
        <v>221</v>
      </c>
      <c r="B219" s="1" t="s">
        <v>234</v>
      </c>
      <c r="C219" s="1" t="s">
        <v>6</v>
      </c>
    </row>
    <row r="220" spans="1:3">
      <c r="A220" s="1" t="s">
        <v>221</v>
      </c>
      <c r="B220" s="1" t="s">
        <v>235</v>
      </c>
      <c r="C220" s="1" t="s">
        <v>16</v>
      </c>
    </row>
    <row r="221" spans="1:3">
      <c r="A221" s="1" t="s">
        <v>221</v>
      </c>
      <c r="B221" s="1" t="s">
        <v>236</v>
      </c>
      <c r="C221" s="1" t="s">
        <v>16</v>
      </c>
    </row>
    <row r="222" spans="1:3">
      <c r="A222" s="1" t="s">
        <v>221</v>
      </c>
      <c r="B222" s="1" t="s">
        <v>237</v>
      </c>
      <c r="C222" s="1" t="s">
        <v>6</v>
      </c>
    </row>
    <row r="223" spans="1:3">
      <c r="A223" s="1" t="s">
        <v>221</v>
      </c>
      <c r="B223" s="1" t="s">
        <v>238</v>
      </c>
      <c r="C223" s="1" t="s">
        <v>4</v>
      </c>
    </row>
    <row r="224" spans="1:3">
      <c r="A224" s="1" t="s">
        <v>221</v>
      </c>
      <c r="B224" s="1" t="s">
        <v>239</v>
      </c>
      <c r="C224" s="1" t="s">
        <v>4</v>
      </c>
    </row>
    <row r="225" spans="1:3">
      <c r="A225" s="1" t="s">
        <v>221</v>
      </c>
      <c r="B225" s="1" t="s">
        <v>240</v>
      </c>
      <c r="C225" s="1" t="s">
        <v>16</v>
      </c>
    </row>
    <row r="226" spans="1:3">
      <c r="A226" s="1" t="s">
        <v>221</v>
      </c>
      <c r="B226" s="1" t="s">
        <v>241</v>
      </c>
      <c r="C226" s="1" t="s">
        <v>8</v>
      </c>
    </row>
    <row r="227" spans="1:3">
      <c r="A227" s="1" t="s">
        <v>221</v>
      </c>
      <c r="B227" s="1" t="s">
        <v>242</v>
      </c>
      <c r="C227" s="1" t="s">
        <v>4</v>
      </c>
    </row>
    <row r="228" spans="1:3">
      <c r="A228" s="1" t="s">
        <v>221</v>
      </c>
      <c r="B228" s="1" t="s">
        <v>243</v>
      </c>
      <c r="C228" s="1" t="s">
        <v>6</v>
      </c>
    </row>
    <row r="229" spans="1:3">
      <c r="A229" s="1" t="s">
        <v>221</v>
      </c>
      <c r="B229" s="1" t="s">
        <v>244</v>
      </c>
      <c r="C229" s="1" t="s">
        <v>13</v>
      </c>
    </row>
    <row r="230" spans="1:3">
      <c r="A230" s="1" t="s">
        <v>221</v>
      </c>
      <c r="B230" s="1" t="s">
        <v>245</v>
      </c>
      <c r="C230" s="1" t="s">
        <v>16</v>
      </c>
    </row>
    <row r="231" spans="1:3">
      <c r="A231" s="1" t="s">
        <v>221</v>
      </c>
      <c r="B231" s="1" t="s">
        <v>246</v>
      </c>
      <c r="C231" s="1" t="s">
        <v>16</v>
      </c>
    </row>
    <row r="232" spans="1:3">
      <c r="A232" s="1" t="s">
        <v>221</v>
      </c>
      <c r="B232" s="1" t="s">
        <v>247</v>
      </c>
      <c r="C232" s="1" t="s">
        <v>13</v>
      </c>
    </row>
    <row r="233" spans="1:3">
      <c r="A233" s="1" t="s">
        <v>221</v>
      </c>
      <c r="B233" s="1" t="s">
        <v>248</v>
      </c>
      <c r="C233" s="1" t="s">
        <v>13</v>
      </c>
    </row>
    <row r="234" spans="1:3">
      <c r="A234" s="1" t="s">
        <v>221</v>
      </c>
      <c r="B234" s="1" t="s">
        <v>249</v>
      </c>
      <c r="C234" s="1" t="s">
        <v>4</v>
      </c>
    </row>
    <row r="235" spans="1:3">
      <c r="A235" s="1" t="s">
        <v>221</v>
      </c>
      <c r="B235" s="1" t="s">
        <v>250</v>
      </c>
      <c r="C235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BD7D-33B6-4365-B720-B32633D52460}">
  <dimension ref="A1:K57"/>
  <sheetViews>
    <sheetView showGridLines="0" tabSelected="1" workbookViewId="0">
      <selection activeCell="C6" sqref="C6"/>
    </sheetView>
  </sheetViews>
  <sheetFormatPr defaultRowHeight="13.8"/>
  <cols>
    <col min="1" max="1" width="11.3984375" customWidth="1"/>
    <col min="2" max="2" width="18.69921875" customWidth="1"/>
    <col min="4" max="4" width="10.296875" customWidth="1"/>
  </cols>
  <sheetData>
    <row r="1" spans="1:11" ht="15.6">
      <c r="A1" s="20" t="s">
        <v>527</v>
      </c>
      <c r="B1" s="21"/>
      <c r="C1" s="21"/>
      <c r="D1" s="21"/>
      <c r="E1" s="21"/>
      <c r="F1" s="21"/>
      <c r="G1" s="21"/>
      <c r="H1" s="21"/>
      <c r="I1" s="19"/>
    </row>
    <row r="3" spans="1:11">
      <c r="A3" s="15" t="s">
        <v>0</v>
      </c>
      <c r="B3" s="15" t="s">
        <v>13</v>
      </c>
    </row>
    <row r="4" spans="1:11">
      <c r="A4" s="26" t="s">
        <v>197</v>
      </c>
      <c r="B4" s="2">
        <v>3</v>
      </c>
    </row>
    <row r="7" spans="1:11" ht="15.6">
      <c r="A7" s="17" t="s">
        <v>529</v>
      </c>
      <c r="B7" s="17"/>
      <c r="C7" s="17"/>
      <c r="D7" s="17"/>
      <c r="E7" s="17"/>
      <c r="F7" s="17"/>
      <c r="G7" s="17"/>
      <c r="H7" s="18"/>
      <c r="I7" s="19"/>
      <c r="J7" s="19"/>
    </row>
    <row r="9" spans="1:11" ht="14.4" thickBot="1">
      <c r="A9" s="3" t="s">
        <v>0</v>
      </c>
      <c r="B9" s="5" t="s">
        <v>6</v>
      </c>
    </row>
    <row r="10" spans="1:11" ht="14.4" thickTop="1">
      <c r="A10" s="27" t="s">
        <v>141</v>
      </c>
      <c r="B10" s="7">
        <v>7</v>
      </c>
    </row>
    <row r="11" spans="1:11">
      <c r="A11" s="27" t="s">
        <v>93</v>
      </c>
      <c r="B11" s="7">
        <v>8</v>
      </c>
    </row>
    <row r="12" spans="1:11">
      <c r="A12" s="29" t="s">
        <v>166</v>
      </c>
      <c r="B12" s="10">
        <v>6</v>
      </c>
    </row>
    <row r="15" spans="1:11" ht="15.6">
      <c r="A15" s="22" t="s">
        <v>530</v>
      </c>
      <c r="B15" s="23"/>
      <c r="C15" s="23"/>
      <c r="D15" s="23"/>
      <c r="E15" s="23"/>
      <c r="F15" s="23"/>
      <c r="G15" s="23"/>
      <c r="H15" s="23"/>
      <c r="I15" s="23"/>
      <c r="J15" s="23"/>
      <c r="K15" s="16"/>
    </row>
    <row r="17" spans="1:8" ht="14.4" thickBot="1">
      <c r="A17" s="3" t="s">
        <v>0</v>
      </c>
      <c r="B17" s="5" t="s">
        <v>258</v>
      </c>
    </row>
    <row r="18" spans="1:8" ht="14.4" thickTop="1">
      <c r="A18" s="8" t="s">
        <v>141</v>
      </c>
      <c r="B18" s="7">
        <v>4</v>
      </c>
    </row>
    <row r="19" spans="1:8">
      <c r="A19" s="8" t="s">
        <v>53</v>
      </c>
      <c r="B19" s="7">
        <v>5</v>
      </c>
    </row>
    <row r="20" spans="1:8">
      <c r="A20" s="8" t="s">
        <v>93</v>
      </c>
      <c r="B20" s="7">
        <v>8</v>
      </c>
    </row>
    <row r="21" spans="1:8">
      <c r="A21" s="8" t="s">
        <v>32</v>
      </c>
      <c r="B21" s="7">
        <v>3</v>
      </c>
    </row>
    <row r="22" spans="1:8">
      <c r="A22" s="8" t="s">
        <v>70</v>
      </c>
      <c r="B22" s="7">
        <v>6</v>
      </c>
      <c r="D22" s="25" t="s">
        <v>531</v>
      </c>
      <c r="E22" s="25">
        <v>5</v>
      </c>
    </row>
    <row r="23" spans="1:8">
      <c r="A23" s="8" t="s">
        <v>197</v>
      </c>
      <c r="B23" s="7">
        <v>5</v>
      </c>
    </row>
    <row r="24" spans="1:8">
      <c r="A24" s="8" t="s">
        <v>120</v>
      </c>
      <c r="B24" s="7">
        <v>8</v>
      </c>
    </row>
    <row r="25" spans="1:8">
      <c r="A25" s="8" t="s">
        <v>221</v>
      </c>
      <c r="B25" s="7">
        <v>5</v>
      </c>
    </row>
    <row r="26" spans="1:8">
      <c r="A26" s="8" t="s">
        <v>2</v>
      </c>
      <c r="B26" s="7">
        <v>10</v>
      </c>
    </row>
    <row r="27" spans="1:8">
      <c r="A27" s="9" t="s">
        <v>166</v>
      </c>
      <c r="B27" s="10">
        <v>4</v>
      </c>
    </row>
    <row r="30" spans="1:8" ht="15.6">
      <c r="A30" s="20" t="s">
        <v>535</v>
      </c>
      <c r="B30" s="20" t="s">
        <v>534</v>
      </c>
      <c r="C30" s="20"/>
      <c r="D30" s="20"/>
      <c r="E30" s="20"/>
      <c r="F30" s="20"/>
      <c r="G30" s="20"/>
      <c r="H30" s="21"/>
    </row>
    <row r="32" spans="1:8" ht="14.4" thickBot="1">
      <c r="A32" s="11" t="s">
        <v>0</v>
      </c>
      <c r="B32" s="4" t="s">
        <v>272</v>
      </c>
    </row>
    <row r="33" spans="1:9" ht="14.4" thickTop="1">
      <c r="A33" s="13" t="s">
        <v>141</v>
      </c>
      <c r="B33" s="14">
        <v>11</v>
      </c>
    </row>
    <row r="34" spans="1:9">
      <c r="A34" s="12" t="s">
        <v>53</v>
      </c>
      <c r="B34" s="6">
        <v>5</v>
      </c>
    </row>
    <row r="35" spans="1:9">
      <c r="A35" s="12" t="s">
        <v>93</v>
      </c>
      <c r="B35" s="6">
        <v>6</v>
      </c>
    </row>
    <row r="36" spans="1:9">
      <c r="A36" s="12" t="s">
        <v>32</v>
      </c>
      <c r="B36" s="6">
        <v>4</v>
      </c>
    </row>
    <row r="37" spans="1:9">
      <c r="A37" s="12" t="s">
        <v>70</v>
      </c>
      <c r="B37" s="6">
        <v>6</v>
      </c>
    </row>
    <row r="38" spans="1:9">
      <c r="A38" s="12" t="s">
        <v>197</v>
      </c>
      <c r="B38" s="6">
        <v>3</v>
      </c>
    </row>
    <row r="39" spans="1:9">
      <c r="A39" s="12" t="s">
        <v>120</v>
      </c>
      <c r="B39" s="6">
        <v>6</v>
      </c>
    </row>
    <row r="40" spans="1:9">
      <c r="A40" s="12" t="s">
        <v>221</v>
      </c>
      <c r="B40" s="6">
        <v>5</v>
      </c>
    </row>
    <row r="41" spans="1:9">
      <c r="A41" s="12" t="s">
        <v>2</v>
      </c>
      <c r="B41" s="6">
        <v>3</v>
      </c>
    </row>
    <row r="42" spans="1:9">
      <c r="A42" s="12" t="s">
        <v>166</v>
      </c>
      <c r="B42" s="6">
        <v>4</v>
      </c>
    </row>
    <row r="45" spans="1:9" ht="15.6">
      <c r="A45" s="24" t="s">
        <v>532</v>
      </c>
      <c r="B45" s="20"/>
      <c r="C45" s="20"/>
      <c r="D45" s="20"/>
      <c r="E45" s="20"/>
      <c r="F45" s="20"/>
      <c r="G45" s="20"/>
      <c r="H45" s="19"/>
      <c r="I45" s="19"/>
    </row>
    <row r="47" spans="1:9" ht="14.4" thickBot="1">
      <c r="A47" s="3" t="s">
        <v>0</v>
      </c>
      <c r="B47" s="4" t="s">
        <v>16</v>
      </c>
    </row>
    <row r="48" spans="1:9" ht="14.4" thickTop="1">
      <c r="A48" s="8" t="s">
        <v>141</v>
      </c>
      <c r="B48" s="6">
        <v>3</v>
      </c>
    </row>
    <row r="49" spans="1:5">
      <c r="A49" s="8" t="s">
        <v>53</v>
      </c>
      <c r="B49" s="6">
        <v>3</v>
      </c>
    </row>
    <row r="50" spans="1:5">
      <c r="A50" s="8" t="s">
        <v>93</v>
      </c>
      <c r="B50" s="6">
        <v>5</v>
      </c>
    </row>
    <row r="51" spans="1:5">
      <c r="A51" s="8" t="s">
        <v>32</v>
      </c>
      <c r="B51" s="6">
        <v>1</v>
      </c>
    </row>
    <row r="52" spans="1:5">
      <c r="A52" s="8" t="s">
        <v>70</v>
      </c>
      <c r="B52" s="6">
        <v>3</v>
      </c>
      <c r="D52" s="25" t="s">
        <v>533</v>
      </c>
      <c r="E52" s="25">
        <v>3.7</v>
      </c>
    </row>
    <row r="53" spans="1:5">
      <c r="A53" s="8" t="s">
        <v>197</v>
      </c>
      <c r="B53" s="6">
        <v>2</v>
      </c>
    </row>
    <row r="54" spans="1:5">
      <c r="A54" s="8" t="s">
        <v>120</v>
      </c>
      <c r="B54" s="6">
        <v>5</v>
      </c>
    </row>
    <row r="55" spans="1:5">
      <c r="A55" s="8" t="s">
        <v>221</v>
      </c>
      <c r="B55" s="6">
        <v>8</v>
      </c>
    </row>
    <row r="56" spans="1:5">
      <c r="A56" s="8" t="s">
        <v>2</v>
      </c>
      <c r="B56" s="6">
        <v>3</v>
      </c>
    </row>
    <row r="57" spans="1:5">
      <c r="A57" s="8" t="s">
        <v>166</v>
      </c>
      <c r="B57" s="6">
        <v>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316258-5C3E-4634-A103-94CCFFCF5C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activity_data</vt:lpstr>
      <vt:lpstr>Final_Report</vt:lpstr>
      <vt:lpstr>network_data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 Kokate</dc:creator>
  <cp:lastModifiedBy>Vishakha Kokate</cp:lastModifiedBy>
  <dcterms:created xsi:type="dcterms:W3CDTF">2026-01-21T01:36:34Z</dcterms:created>
  <dcterms:modified xsi:type="dcterms:W3CDTF">2026-01-21T04:10:31Z</dcterms:modified>
</cp:coreProperties>
</file>